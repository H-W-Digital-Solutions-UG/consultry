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/dev/consultry/"/>
    </mc:Choice>
  </mc:AlternateContent>
  <xr:revisionPtr revIDLastSave="0" documentId="8_{3F9C9130-0C30-0641-AB91-BBF4FB7F66BC}" xr6:coauthVersionLast="47" xr6:coauthVersionMax="47" xr10:uidLastSave="{00000000-0000-0000-0000-000000000000}"/>
  <bookViews>
    <workbookView xWindow="0" yWindow="780" windowWidth="29400" windowHeight="16900" activeTab="8" xr2:uid="{05105FB1-45AB-4D4A-BF63-66C0202D701F}"/>
  </bookViews>
  <sheets>
    <sheet name="Funding Plan" sheetId="12" r:id="rId1"/>
    <sheet name="Employee Plan" sheetId="11" r:id="rId2"/>
    <sheet name="Role-Salary Helper " sheetId="9" r:id="rId3"/>
    <sheet name="Fixed Cost" sheetId="4" r:id="rId4"/>
    <sheet name="Earning Projections" sheetId="3" r:id="rId5"/>
    <sheet name="Marketing" sheetId="10" r:id="rId6"/>
    <sheet name="Cost &amp; Burn Calculation" sheetId="13" r:id="rId7"/>
    <sheet name="initial Dev Cost" sheetId="1" r:id="rId8"/>
    <sheet name="OLD Employee &amp; Contracting Cost" sheetId="8" r:id="rId9"/>
  </sheets>
  <definedNames>
    <definedName name="_xlnm._FilterDatabase" localSheetId="1" hidden="1">'Employee Plan'!$A$4:$G$4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3" l="1"/>
  <c r="D8" i="12"/>
  <c r="I9" i="12"/>
  <c r="H12" i="12"/>
  <c r="G12" i="12"/>
  <c r="I12" i="12"/>
  <c r="D12" i="12"/>
  <c r="C51" i="13"/>
  <c r="C134" i="11"/>
  <c r="C133" i="11"/>
  <c r="C132" i="11"/>
  <c r="C131" i="11"/>
  <c r="C130" i="11"/>
  <c r="C129" i="11"/>
  <c r="C117" i="11"/>
  <c r="C80" i="11"/>
  <c r="C79" i="11"/>
  <c r="C76" i="11"/>
  <c r="C78" i="11"/>
  <c r="C77" i="11"/>
  <c r="G8" i="11"/>
  <c r="G24" i="11"/>
  <c r="G41" i="11"/>
  <c r="G58" i="11"/>
  <c r="C116" i="11"/>
  <c r="C115" i="11"/>
  <c r="C114" i="11"/>
  <c r="C98" i="11"/>
  <c r="C97" i="11"/>
  <c r="C96" i="11"/>
  <c r="C95" i="11"/>
  <c r="C58" i="11"/>
  <c r="C57" i="11"/>
  <c r="C41" i="11"/>
  <c r="C40" i="11"/>
  <c r="C39" i="11"/>
  <c r="C9" i="11"/>
  <c r="C6" i="11"/>
  <c r="C8" i="11"/>
  <c r="C7" i="11"/>
  <c r="C5" i="11"/>
  <c r="C22" i="11"/>
  <c r="C24" i="11"/>
  <c r="C23" i="11"/>
  <c r="C28" i="9"/>
  <c r="C55" i="11" s="1"/>
  <c r="C27" i="9"/>
  <c r="C56" i="11" s="1"/>
  <c r="F18" i="12"/>
  <c r="E5" i="13"/>
  <c r="E6" i="13"/>
  <c r="E7" i="13"/>
  <c r="E8" i="13"/>
  <c r="E9" i="13"/>
  <c r="E10" i="13"/>
  <c r="F10" i="13" s="1"/>
  <c r="E11" i="13"/>
  <c r="F11" i="13" s="1"/>
  <c r="E12" i="13"/>
  <c r="F12" i="13" s="1"/>
  <c r="E13" i="13"/>
  <c r="E4" i="13"/>
  <c r="C20" i="13"/>
  <c r="C21" i="13"/>
  <c r="C22" i="13"/>
  <c r="C23" i="13"/>
  <c r="C24" i="13"/>
  <c r="C25" i="13"/>
  <c r="C26" i="13"/>
  <c r="C27" i="13"/>
  <c r="C28" i="13"/>
  <c r="C19" i="13"/>
  <c r="B20" i="13"/>
  <c r="B21" i="13"/>
  <c r="B22" i="13"/>
  <c r="B23" i="13"/>
  <c r="B24" i="13"/>
  <c r="B25" i="13"/>
  <c r="B26" i="13"/>
  <c r="B27" i="13"/>
  <c r="B28" i="13"/>
  <c r="B19" i="13"/>
  <c r="D18" i="13"/>
  <c r="D17" i="13"/>
  <c r="C9" i="13"/>
  <c r="C8" i="13"/>
  <c r="C7" i="13"/>
  <c r="C6" i="13"/>
  <c r="C5" i="13"/>
  <c r="C4" i="13"/>
  <c r="C3" i="13"/>
  <c r="C2" i="13"/>
  <c r="G130" i="11"/>
  <c r="G129" i="11"/>
  <c r="C10" i="13"/>
  <c r="C11" i="13"/>
  <c r="C12" i="13"/>
  <c r="C13" i="13"/>
  <c r="B12" i="12"/>
  <c r="B51" i="13" s="1"/>
  <c r="C137" i="11"/>
  <c r="C136" i="11"/>
  <c r="C135" i="11"/>
  <c r="C121" i="11"/>
  <c r="C120" i="11"/>
  <c r="C119" i="11"/>
  <c r="C102" i="11"/>
  <c r="C101" i="11"/>
  <c r="C100" i="11"/>
  <c r="C84" i="11"/>
  <c r="C83" i="11"/>
  <c r="C82" i="11"/>
  <c r="C61" i="11"/>
  <c r="C60" i="11"/>
  <c r="C59" i="11"/>
  <c r="C44" i="11"/>
  <c r="C43" i="11"/>
  <c r="C42" i="11"/>
  <c r="C27" i="11"/>
  <c r="C26" i="11"/>
  <c r="C25" i="11"/>
  <c r="C10" i="11"/>
  <c r="F138" i="11"/>
  <c r="B138" i="11"/>
  <c r="C118" i="11"/>
  <c r="C99" i="11"/>
  <c r="G114" i="11"/>
  <c r="G113" i="11"/>
  <c r="F122" i="11"/>
  <c r="B122" i="11"/>
  <c r="B29" i="11"/>
  <c r="F29" i="11"/>
  <c r="F46" i="11"/>
  <c r="B46" i="11"/>
  <c r="B63" i="11"/>
  <c r="F63" i="11"/>
  <c r="B103" i="11"/>
  <c r="F85" i="11"/>
  <c r="F103" i="11"/>
  <c r="B85" i="11"/>
  <c r="G94" i="11"/>
  <c r="G95" i="11"/>
  <c r="C81" i="11"/>
  <c r="C11" i="11"/>
  <c r="G77" i="11"/>
  <c r="G76" i="11"/>
  <c r="C12" i="12"/>
  <c r="G57" i="11"/>
  <c r="G56" i="11"/>
  <c r="G55" i="11"/>
  <c r="G38" i="11"/>
  <c r="G39" i="11"/>
  <c r="G40" i="11"/>
  <c r="G9" i="11"/>
  <c r="G25" i="11"/>
  <c r="G23" i="11"/>
  <c r="G22" i="11"/>
  <c r="G21" i="11"/>
  <c r="G7" i="11"/>
  <c r="G6" i="11"/>
  <c r="G5" i="11"/>
  <c r="G28" i="11"/>
  <c r="C28" i="11"/>
  <c r="G27" i="11"/>
  <c r="G26" i="11"/>
  <c r="F13" i="11"/>
  <c r="B13" i="11"/>
  <c r="G12" i="11"/>
  <c r="C12" i="11"/>
  <c r="G11" i="11"/>
  <c r="G10" i="11"/>
  <c r="S9" i="8"/>
  <c r="S10" i="8"/>
  <c r="S6" i="8"/>
  <c r="S7" i="8"/>
  <c r="S5" i="8"/>
  <c r="G7" i="8"/>
  <c r="R45" i="8"/>
  <c r="N45" i="8"/>
  <c r="F45" i="8"/>
  <c r="B45" i="8"/>
  <c r="B29" i="8"/>
  <c r="C28" i="8"/>
  <c r="F29" i="8"/>
  <c r="N29" i="8"/>
  <c r="R29" i="8"/>
  <c r="R13" i="8"/>
  <c r="N13" i="8"/>
  <c r="F13" i="8"/>
  <c r="B13" i="8"/>
  <c r="B8" i="4"/>
  <c r="B15" i="4" s="1"/>
  <c r="C8" i="8"/>
  <c r="O8" i="8"/>
  <c r="O7" i="8"/>
  <c r="O5" i="8"/>
  <c r="G6" i="8"/>
  <c r="G5" i="8"/>
  <c r="C9" i="8"/>
  <c r="C5" i="8"/>
  <c r="C7" i="8"/>
  <c r="G40" i="8"/>
  <c r="S41" i="8"/>
  <c r="S45" i="8" s="1"/>
  <c r="S25" i="8"/>
  <c r="G24" i="8"/>
  <c r="G8" i="8"/>
  <c r="G22" i="8"/>
  <c r="C42" i="8"/>
  <c r="C43" i="8"/>
  <c r="C38" i="8"/>
  <c r="C39" i="8"/>
  <c r="C40" i="8"/>
  <c r="C41" i="8"/>
  <c r="C22" i="8"/>
  <c r="C23" i="8"/>
  <c r="C24" i="8"/>
  <c r="C25" i="8"/>
  <c r="O37" i="8"/>
  <c r="C37" i="8"/>
  <c r="C21" i="8"/>
  <c r="O26" i="8"/>
  <c r="O24" i="8"/>
  <c r="O22" i="8"/>
  <c r="O23" i="8"/>
  <c r="O25" i="8"/>
  <c r="O21" i="8"/>
  <c r="O9" i="8"/>
  <c r="C10" i="8"/>
  <c r="C12" i="8"/>
  <c r="G9" i="8"/>
  <c r="G10" i="8"/>
  <c r="G11" i="8"/>
  <c r="G12" i="8"/>
  <c r="O12" i="8"/>
  <c r="G41" i="8"/>
  <c r="G42" i="8"/>
  <c r="G43" i="8"/>
  <c r="G44" i="8"/>
  <c r="O28" i="8"/>
  <c r="C11" i="8"/>
  <c r="O11" i="8"/>
  <c r="S11" i="8"/>
  <c r="S12" i="8"/>
  <c r="S26" i="8"/>
  <c r="S27" i="8"/>
  <c r="S28" i="8"/>
  <c r="S42" i="8"/>
  <c r="S43" i="8"/>
  <c r="S44" i="8"/>
  <c r="C27" i="8"/>
  <c r="C44" i="8"/>
  <c r="O44" i="8"/>
  <c r="O27" i="8"/>
  <c r="C26" i="8"/>
  <c r="O10" i="8"/>
  <c r="S40" i="8"/>
  <c r="G39" i="8"/>
  <c r="G23" i="8"/>
  <c r="S8" i="8"/>
  <c r="O42" i="8"/>
  <c r="O41" i="8"/>
  <c r="O40" i="8"/>
  <c r="O39" i="8"/>
  <c r="O38" i="8"/>
  <c r="S23" i="8"/>
  <c r="S24" i="8"/>
  <c r="S29" i="8" s="1"/>
  <c r="G21" i="8"/>
  <c r="G25" i="8"/>
  <c r="G26" i="8"/>
  <c r="G27" i="8"/>
  <c r="G28" i="8"/>
  <c r="S39" i="8"/>
  <c r="S38" i="8"/>
  <c r="S37" i="8"/>
  <c r="S22" i="8"/>
  <c r="S21" i="8"/>
  <c r="T11" i="3"/>
  <c r="V11" i="3"/>
  <c r="T10" i="3"/>
  <c r="U10" i="3"/>
  <c r="V10" i="3"/>
  <c r="W10" i="3"/>
  <c r="U11" i="3"/>
  <c r="W11" i="3"/>
  <c r="T12" i="3"/>
  <c r="U12" i="3"/>
  <c r="V12" i="3"/>
  <c r="W12" i="3"/>
  <c r="T13" i="3"/>
  <c r="U13" i="3"/>
  <c r="V13" i="3"/>
  <c r="W13" i="3"/>
  <c r="T14" i="3"/>
  <c r="U14" i="3"/>
  <c r="V14" i="3"/>
  <c r="W14" i="3"/>
  <c r="T15" i="3"/>
  <c r="U15" i="3"/>
  <c r="V15" i="3"/>
  <c r="W15" i="3"/>
  <c r="T16" i="3"/>
  <c r="U16" i="3"/>
  <c r="V16" i="3"/>
  <c r="W16" i="3"/>
  <c r="T17" i="3"/>
  <c r="U17" i="3"/>
  <c r="V17" i="3"/>
  <c r="W17" i="3"/>
  <c r="T18" i="3"/>
  <c r="U18" i="3"/>
  <c r="V18" i="3"/>
  <c r="W18" i="3"/>
  <c r="T19" i="3"/>
  <c r="U19" i="3"/>
  <c r="V19" i="3"/>
  <c r="W19" i="3"/>
  <c r="U20" i="3"/>
  <c r="T20" i="3"/>
  <c r="K20" i="3"/>
  <c r="L20" i="3"/>
  <c r="M20" i="3"/>
  <c r="N20" i="3"/>
  <c r="O20" i="3"/>
  <c r="P20" i="3"/>
  <c r="Q20" i="3"/>
  <c r="R20" i="3"/>
  <c r="J20" i="3"/>
  <c r="E32" i="3"/>
  <c r="B32" i="3"/>
  <c r="E31" i="3"/>
  <c r="B31" i="3"/>
  <c r="F15" i="4"/>
  <c r="R42" i="1"/>
  <c r="T34" i="1"/>
  <c r="T33" i="1"/>
  <c r="R41" i="1" s="1"/>
  <c r="T32" i="1"/>
  <c r="R40" i="1" s="1"/>
  <c r="R18" i="1"/>
  <c r="T44" i="1" s="1"/>
  <c r="R17" i="1"/>
  <c r="E30" i="3"/>
  <c r="E29" i="3"/>
  <c r="E28" i="3"/>
  <c r="E27" i="3"/>
  <c r="E26" i="3"/>
  <c r="E25" i="3"/>
  <c r="E24" i="3"/>
  <c r="E23" i="3"/>
  <c r="F23" i="3" s="1"/>
  <c r="L40" i="1"/>
  <c r="N34" i="1"/>
  <c r="N33" i="1"/>
  <c r="N32" i="1"/>
  <c r="I32" i="1"/>
  <c r="G40" i="1" s="1"/>
  <c r="B40" i="1"/>
  <c r="D40" i="1" s="1"/>
  <c r="B41" i="1"/>
  <c r="D32" i="1"/>
  <c r="C23" i="3"/>
  <c r="C24" i="3" s="1"/>
  <c r="B23" i="3"/>
  <c r="B30" i="3"/>
  <c r="B29" i="3"/>
  <c r="B28" i="3"/>
  <c r="B27" i="3"/>
  <c r="B26" i="3"/>
  <c r="B25" i="3"/>
  <c r="B24" i="3"/>
  <c r="L17" i="1"/>
  <c r="G17" i="1"/>
  <c r="B17" i="1"/>
  <c r="L42" i="1"/>
  <c r="N42" i="1" s="1"/>
  <c r="L41" i="1"/>
  <c r="N41" i="1" s="1"/>
  <c r="I34" i="1"/>
  <c r="G42" i="1" s="1"/>
  <c r="I42" i="1" s="1"/>
  <c r="I33" i="1"/>
  <c r="G41" i="1" s="1"/>
  <c r="I41" i="1" s="1"/>
  <c r="D34" i="1"/>
  <c r="B42" i="1" s="1"/>
  <c r="D33" i="1"/>
  <c r="L18" i="1"/>
  <c r="G18" i="1"/>
  <c r="B18" i="1"/>
  <c r="D28" i="13" l="1"/>
  <c r="D43" i="13" s="1"/>
  <c r="E43" i="13" s="1"/>
  <c r="D27" i="13"/>
  <c r="D42" i="13" s="1"/>
  <c r="E42" i="13" s="1"/>
  <c r="D26" i="13"/>
  <c r="D41" i="13" s="1"/>
  <c r="E41" i="13" s="1"/>
  <c r="D25" i="13"/>
  <c r="D40" i="13" s="1"/>
  <c r="E40" i="13" s="1"/>
  <c r="D24" i="13"/>
  <c r="D39" i="13" s="1"/>
  <c r="D23" i="13"/>
  <c r="D38" i="13" s="1"/>
  <c r="D22" i="13"/>
  <c r="D21" i="13"/>
  <c r="O6" i="8"/>
  <c r="C94" i="11"/>
  <c r="C6" i="8"/>
  <c r="C21" i="11"/>
  <c r="C29" i="11" s="1"/>
  <c r="C113" i="11"/>
  <c r="C38" i="11"/>
  <c r="G45" i="8"/>
  <c r="C46" i="11"/>
  <c r="C63" i="11"/>
  <c r="D20" i="13"/>
  <c r="D19" i="13"/>
  <c r="E14" i="13"/>
  <c r="C14" i="13"/>
  <c r="B29" i="13"/>
  <c r="C29" i="13"/>
  <c r="C138" i="11"/>
  <c r="C122" i="11"/>
  <c r="G122" i="11"/>
  <c r="G138" i="11"/>
  <c r="C85" i="11"/>
  <c r="C103" i="11"/>
  <c r="G103" i="11"/>
  <c r="C29" i="8"/>
  <c r="G63" i="11"/>
  <c r="G85" i="11"/>
  <c r="G46" i="11"/>
  <c r="G29" i="11"/>
  <c r="C13" i="11"/>
  <c r="G13" i="11"/>
  <c r="B20" i="4"/>
  <c r="B21" i="4" s="1"/>
  <c r="S13" i="8"/>
  <c r="C13" i="8"/>
  <c r="O45" i="8"/>
  <c r="G13" i="8"/>
  <c r="O13" i="8"/>
  <c r="C45" i="8"/>
  <c r="O29" i="8"/>
  <c r="G29" i="8"/>
  <c r="V20" i="3"/>
  <c r="W20" i="3"/>
  <c r="F24" i="3"/>
  <c r="T40" i="1"/>
  <c r="T41" i="1"/>
  <c r="T42" i="1"/>
  <c r="I40" i="1"/>
  <c r="N40" i="1"/>
  <c r="D42" i="1"/>
  <c r="N44" i="1"/>
  <c r="D44" i="1"/>
  <c r="I44" i="1"/>
  <c r="D41" i="1"/>
  <c r="D24" i="3"/>
  <c r="D23" i="3"/>
  <c r="C25" i="3"/>
  <c r="E28" i="13" l="1"/>
  <c r="E27" i="13"/>
  <c r="E25" i="13"/>
  <c r="E26" i="13"/>
  <c r="D29" i="13"/>
  <c r="D44" i="13" s="1"/>
  <c r="I45" i="8"/>
  <c r="C49" i="11"/>
  <c r="B4" i="13" s="1"/>
  <c r="F4" i="13" s="1"/>
  <c r="E34" i="13" s="1"/>
  <c r="C66" i="11"/>
  <c r="B5" i="13" s="1"/>
  <c r="F5" i="13" s="1"/>
  <c r="E35" i="13" s="1"/>
  <c r="C141" i="11"/>
  <c r="C125" i="11"/>
  <c r="C88" i="11"/>
  <c r="C107" i="11"/>
  <c r="C32" i="11"/>
  <c r="B3" i="13" s="1"/>
  <c r="F3" i="13" s="1"/>
  <c r="E33" i="13" s="1"/>
  <c r="C16" i="11"/>
  <c r="B2" i="13" s="1"/>
  <c r="I29" i="8"/>
  <c r="U29" i="8"/>
  <c r="U13" i="8"/>
  <c r="U45" i="8"/>
  <c r="C48" i="8" s="1"/>
  <c r="I13" i="8"/>
  <c r="G24" i="3"/>
  <c r="G23" i="3"/>
  <c r="F25" i="3"/>
  <c r="D25" i="3"/>
  <c r="C26" i="3"/>
  <c r="F2" i="13" l="1"/>
  <c r="E19" i="13"/>
  <c r="E20" i="13"/>
  <c r="E17" i="13"/>
  <c r="B52" i="13" s="1"/>
  <c r="B8" i="13"/>
  <c r="F8" i="13" s="1"/>
  <c r="E38" i="13" s="1"/>
  <c r="B9" i="13"/>
  <c r="F9" i="13" s="1"/>
  <c r="E39" i="13" s="1"/>
  <c r="E18" i="13"/>
  <c r="I88" i="11"/>
  <c r="I107" i="11" s="1"/>
  <c r="I125" i="11" s="1"/>
  <c r="I141" i="11" s="1"/>
  <c r="B7" i="13"/>
  <c r="F7" i="13" s="1"/>
  <c r="E37" i="13" s="1"/>
  <c r="B6" i="13"/>
  <c r="F6" i="13" s="1"/>
  <c r="E36" i="13" s="1"/>
  <c r="I16" i="11"/>
  <c r="I32" i="11" s="1"/>
  <c r="I49" i="11" s="1"/>
  <c r="I66" i="11" s="1"/>
  <c r="C70" i="11" s="1"/>
  <c r="C32" i="8"/>
  <c r="C16" i="8"/>
  <c r="F26" i="3"/>
  <c r="G25" i="3"/>
  <c r="D26" i="3"/>
  <c r="C27" i="3"/>
  <c r="E32" i="13" l="1"/>
  <c r="C52" i="13" s="1"/>
  <c r="C53" i="13" s="1"/>
  <c r="C54" i="13" s="1"/>
  <c r="C55" i="13" s="1"/>
  <c r="C56" i="13" s="1"/>
  <c r="C57" i="13" s="1"/>
  <c r="F14" i="13"/>
  <c r="B53" i="13"/>
  <c r="B54" i="13" s="1"/>
  <c r="B55" i="13" s="1"/>
  <c r="E21" i="13"/>
  <c r="B14" i="13"/>
  <c r="D14" i="13"/>
  <c r="E44" i="13" s="1"/>
  <c r="E22" i="13"/>
  <c r="E24" i="13"/>
  <c r="E23" i="13"/>
  <c r="F27" i="3"/>
  <c r="I26" i="3"/>
  <c r="G26" i="3"/>
  <c r="D27" i="3"/>
  <c r="C28" i="3"/>
  <c r="C58" i="13" l="1"/>
  <c r="C59" i="13" s="1"/>
  <c r="C60" i="13" s="1"/>
  <c r="C61" i="13" s="1"/>
  <c r="C62" i="13" s="1"/>
  <c r="C63" i="13" s="1"/>
  <c r="B56" i="13"/>
  <c r="B57" i="13" s="1"/>
  <c r="B58" i="13" s="1"/>
  <c r="B59" i="13" s="1"/>
  <c r="B60" i="13" s="1"/>
  <c r="B61" i="13" s="1"/>
  <c r="B62" i="13" s="1"/>
  <c r="B63" i="13" s="1"/>
  <c r="E29" i="13"/>
  <c r="I27" i="3"/>
  <c r="F28" i="3"/>
  <c r="G27" i="3"/>
  <c r="D28" i="3"/>
  <c r="C29" i="3"/>
  <c r="F29" i="3" l="1"/>
  <c r="G28" i="3"/>
  <c r="D29" i="3"/>
  <c r="C30" i="3"/>
  <c r="D30" i="3" l="1"/>
  <c r="C31" i="3"/>
  <c r="F30" i="3"/>
  <c r="G29" i="3"/>
  <c r="I30" i="3"/>
  <c r="F31" i="3" l="1"/>
  <c r="D31" i="3"/>
  <c r="C32" i="3"/>
  <c r="D32" i="3" s="1"/>
  <c r="G30" i="3"/>
  <c r="F32" i="3" l="1"/>
  <c r="G31" i="3"/>
  <c r="I31" i="3"/>
  <c r="G32" i="3" l="1"/>
</calcChain>
</file>

<file path=xl/sharedStrings.xml><?xml version="1.0" encoding="utf-8"?>
<sst xmlns="http://schemas.openxmlformats.org/spreadsheetml/2006/main" count="704" uniqueCount="247">
  <si>
    <t>Financial Planning</t>
  </si>
  <si>
    <t>Development Cost Breakdown</t>
  </si>
  <si>
    <t>Investment Plan A</t>
  </si>
  <si>
    <t>Tech Lead</t>
  </si>
  <si>
    <t>Developer</t>
  </si>
  <si>
    <t>QA</t>
  </si>
  <si>
    <t>DevOps</t>
  </si>
  <si>
    <t>Architecture</t>
  </si>
  <si>
    <t>Dev Team Setup</t>
  </si>
  <si>
    <t>Role</t>
  </si>
  <si>
    <t>FTE</t>
  </si>
  <si>
    <t>Product Management</t>
  </si>
  <si>
    <t>Project Management</t>
  </si>
  <si>
    <t>Sum Tier 1</t>
  </si>
  <si>
    <t>Sum Tier 2</t>
  </si>
  <si>
    <t>Investment Plan B</t>
  </si>
  <si>
    <t>Investment Plan C</t>
  </si>
  <si>
    <t>Feature</t>
  </si>
  <si>
    <t>AI SOC Triage Analysis + Reports</t>
  </si>
  <si>
    <t>Duration in Months</t>
  </si>
  <si>
    <t>SOC Responder AI Agent</t>
  </si>
  <si>
    <t>IT Assetmanagement incl. Audit Trail</t>
  </si>
  <si>
    <t>Knowledgebase Module Extension</t>
  </si>
  <si>
    <t>Change- &amp; Releasemanagement Module</t>
  </si>
  <si>
    <t>MVP 1 Total</t>
  </si>
  <si>
    <t>MVP 2 Total</t>
  </si>
  <si>
    <t>Daily Rates:</t>
  </si>
  <si>
    <t>Tier 1</t>
  </si>
  <si>
    <t>Tier 2</t>
  </si>
  <si>
    <t>Total Cost</t>
  </si>
  <si>
    <t>Feature Estimation Plan A</t>
  </si>
  <si>
    <t>Feature Estimation Plan B</t>
  </si>
  <si>
    <t>Feature Estimation Plan C</t>
  </si>
  <si>
    <t>Bottom Line Plan A</t>
  </si>
  <si>
    <t>MVP 1</t>
  </si>
  <si>
    <t>Scope</t>
  </si>
  <si>
    <t>Total Duration</t>
  </si>
  <si>
    <t>MVP 2</t>
  </si>
  <si>
    <t>Bottom Line Plan B</t>
  </si>
  <si>
    <t>Bottom Line Plan C</t>
  </si>
  <si>
    <t>UX/UI Designer</t>
  </si>
  <si>
    <t>Legal</t>
  </si>
  <si>
    <t>Total Yearly Cost</t>
  </si>
  <si>
    <t>Small Company</t>
  </si>
  <si>
    <t>Medium Company</t>
  </si>
  <si>
    <t>Large Company</t>
  </si>
  <si>
    <t>Basic - Setup Fee</t>
  </si>
  <si>
    <t>Basic - Monthly License</t>
  </si>
  <si>
    <t>Pro - Setup Fee</t>
  </si>
  <si>
    <t>Pro - Monthly License</t>
  </si>
  <si>
    <t>Enterprise - Setup Fee</t>
  </si>
  <si>
    <t>Earning Projections</t>
  </si>
  <si>
    <t>Pricing Structure</t>
  </si>
  <si>
    <t>Enterprise - Monthly License</t>
  </si>
  <si>
    <t>Quarter</t>
  </si>
  <si>
    <t>Basic-Small</t>
  </si>
  <si>
    <t>Basic-Medium</t>
  </si>
  <si>
    <t>Basic-Large</t>
  </si>
  <si>
    <t>Pro-Small</t>
  </si>
  <si>
    <t>Ent-Large</t>
  </si>
  <si>
    <t>Q1 2027</t>
  </si>
  <si>
    <t>Q2 2027</t>
  </si>
  <si>
    <t>Q4 2027</t>
  </si>
  <si>
    <t>Q3 2027</t>
  </si>
  <si>
    <t>Q1 2028</t>
  </si>
  <si>
    <t>Q2 2028</t>
  </si>
  <si>
    <t>Q3 2028</t>
  </si>
  <si>
    <t>Q4 2028</t>
  </si>
  <si>
    <t>Q1 2029</t>
  </si>
  <si>
    <t>Q2 2029</t>
  </si>
  <si>
    <t>Pro-Medium</t>
  </si>
  <si>
    <t>Pro-Large</t>
  </si>
  <si>
    <t>Ent-Small</t>
  </si>
  <si>
    <t>Ent-Medium</t>
  </si>
  <si>
    <t>Setup Revenue</t>
  </si>
  <si>
    <t>Recurring Revenue</t>
  </si>
  <si>
    <t>Total Revenue</t>
  </si>
  <si>
    <t>Assumption: Project Launch in Q3 2026 with Investment Plan A</t>
  </si>
  <si>
    <t>Sales Forecast per Quarter</t>
  </si>
  <si>
    <t>Earnings Projections</t>
  </si>
  <si>
    <t>Quarterly Cost of Development</t>
  </si>
  <si>
    <t>MVP 3</t>
  </si>
  <si>
    <t>MVP 3 Total</t>
  </si>
  <si>
    <t>Licensing &amp; other Fees</t>
  </si>
  <si>
    <t>Software Licenses</t>
  </si>
  <si>
    <t>Microsoft 365 Enterprise</t>
  </si>
  <si>
    <t>Monthly Cost</t>
  </si>
  <si>
    <t>Cursor</t>
  </si>
  <si>
    <t>Active Hunting AI Agent</t>
  </si>
  <si>
    <t>Related Cost</t>
  </si>
  <si>
    <t>Cost per Customer</t>
  </si>
  <si>
    <t>Cumulative Cost</t>
  </si>
  <si>
    <t>Total Profit</t>
  </si>
  <si>
    <t xml:space="preserve">2027 License Revenue: </t>
  </si>
  <si>
    <t xml:space="preserve">2027 License Profit: </t>
  </si>
  <si>
    <t xml:space="preserve">2028 License Revenue: </t>
  </si>
  <si>
    <t xml:space="preserve">2028 License Profit: </t>
  </si>
  <si>
    <t>Hetzner AI GPU Test Server</t>
  </si>
  <si>
    <t>ChatGPT Team License</t>
  </si>
  <si>
    <t>Assets</t>
  </si>
  <si>
    <t>Software</t>
  </si>
  <si>
    <t>Asset</t>
  </si>
  <si>
    <t>VPN Licenses</t>
  </si>
  <si>
    <t>Internal Server Cost</t>
  </si>
  <si>
    <t>Total</t>
  </si>
  <si>
    <t>Office Space incl. WiFi</t>
  </si>
  <si>
    <t>Office Refreshments</t>
  </si>
  <si>
    <t>Other</t>
  </si>
  <si>
    <t>Total Monthly Cost</t>
  </si>
  <si>
    <t>Investment Plan D</t>
  </si>
  <si>
    <t>Feature Estimation Plan D</t>
  </si>
  <si>
    <t>Bottom Line Plan D</t>
  </si>
  <si>
    <t>Cost</t>
  </si>
  <si>
    <t>Yearly Total Cost</t>
  </si>
  <si>
    <t>Totals Q2 2029</t>
  </si>
  <si>
    <t>All</t>
  </si>
  <si>
    <t>Small</t>
  </si>
  <si>
    <t>Medium</t>
  </si>
  <si>
    <t>Large</t>
  </si>
  <si>
    <t>Board members take over Tier 2 tasks during initial 6 month scaling phase</t>
  </si>
  <si>
    <t>&lt;50</t>
  </si>
  <si>
    <t>50-750</t>
  </si>
  <si>
    <t>750+</t>
  </si>
  <si>
    <t>Employee Reference*</t>
  </si>
  <si>
    <t>Advertising</t>
  </si>
  <si>
    <t>MVP1 Completion</t>
  </si>
  <si>
    <t>MVP2 Completion</t>
  </si>
  <si>
    <t>MVP3 Completion</t>
  </si>
  <si>
    <t>Personal Y1-Q1-Q2 (kumulativ)</t>
  </si>
  <si>
    <t>Personal Y2-Q1-Q2 (kumulativ)</t>
  </si>
  <si>
    <t>Personal Y2-Q3-Q4 (kumulativ)</t>
  </si>
  <si>
    <t>Personal Y3-Q1-Q2 (kumulativ)</t>
  </si>
  <si>
    <t>Personal Y3-Q3-Q4 (kumulativ)</t>
  </si>
  <si>
    <t>Contractors Y1-Q1-Q2 (kumulativ)</t>
  </si>
  <si>
    <t>Contractors Y2-Q1-Q2 (kumulativ)</t>
  </si>
  <si>
    <t>Contractors Y3-Q1-Q2 (kumulativ)</t>
  </si>
  <si>
    <t>Ad &amp; Contend Creator</t>
  </si>
  <si>
    <t>Developer (Backend)</t>
  </si>
  <si>
    <t>Sr, Developer (Full-Stack)</t>
  </si>
  <si>
    <t>QA &amp; Testing</t>
  </si>
  <si>
    <t>Contractors Y1-Q3-Q4 (kumulativ)</t>
  </si>
  <si>
    <t>AI &amp; Architecture Specialist</t>
  </si>
  <si>
    <t>Contractors Y2-Q3-Q4 (kumulativ)</t>
  </si>
  <si>
    <t>Digital Marketing</t>
  </si>
  <si>
    <t>Sales &amp; Acquisition</t>
  </si>
  <si>
    <t>N/A</t>
  </si>
  <si>
    <t>TOTAL</t>
  </si>
  <si>
    <t>Employees</t>
  </si>
  <si>
    <t>Quarter Total Cost</t>
  </si>
  <si>
    <t>Developer (Frontend)</t>
  </si>
  <si>
    <t>UI / UX Designer</t>
  </si>
  <si>
    <t>26Q3-Q4</t>
  </si>
  <si>
    <t>27Q1-Q2</t>
  </si>
  <si>
    <t>28Q1-Q2</t>
  </si>
  <si>
    <t>27Q3-Q4</t>
  </si>
  <si>
    <t>28Q3-Q4</t>
  </si>
  <si>
    <t>29Q1-Q2</t>
  </si>
  <si>
    <t>Key Account Manager</t>
  </si>
  <si>
    <t>Sales Development Representative</t>
  </si>
  <si>
    <t xml:space="preserve">! NOTE: New SDR Employees </t>
  </si>
  <si>
    <t>will lower the relative participation Factor</t>
  </si>
  <si>
    <t>of External Sales Contractors</t>
  </si>
  <si>
    <t>C-Suite</t>
  </si>
  <si>
    <t>Cost per FTE</t>
  </si>
  <si>
    <t>Sales Development Rep.</t>
  </si>
  <si>
    <t xml:space="preserve">QA &amp; Testing </t>
  </si>
  <si>
    <t>CONTRACTORS TBD!!!</t>
  </si>
  <si>
    <t>INTERNAL EMPLOYEES (Remote )</t>
  </si>
  <si>
    <t>INTERNAL EMPLOYEES (Remote Outsourced )</t>
  </si>
  <si>
    <t>Sr. Developer (Backend)</t>
  </si>
  <si>
    <t>26Q3</t>
  </si>
  <si>
    <t>26Q4</t>
  </si>
  <si>
    <t>Contractors Y1-Q1(kumulativ)</t>
  </si>
  <si>
    <t>Personal Y1-Q1(kumulativ)</t>
  </si>
  <si>
    <t>27Q2</t>
  </si>
  <si>
    <t>Personal Y1-Q2 (kumulativ)</t>
  </si>
  <si>
    <t>Contractors Y1-Q4 (kumulativ)</t>
  </si>
  <si>
    <t>27Q1</t>
  </si>
  <si>
    <t>Contractors Y1-Q2 (kumulativ)</t>
  </si>
  <si>
    <t>Sales Dev. Rep.</t>
  </si>
  <si>
    <t>Y1Cost (Cumulating)</t>
  </si>
  <si>
    <t>Y1 Cost (Cumulating)</t>
  </si>
  <si>
    <t>Y1 Total Cost</t>
  </si>
  <si>
    <t>Value Invested</t>
  </si>
  <si>
    <t>Investor ID</t>
  </si>
  <si>
    <t>Julian Weber (Founder)</t>
  </si>
  <si>
    <t>Caspar Julian Hertel (Founder)</t>
  </si>
  <si>
    <t>SUM Investment</t>
  </si>
  <si>
    <t>Company Share (%)</t>
  </si>
  <si>
    <t>Seed Funding 1</t>
  </si>
  <si>
    <t>KFW</t>
  </si>
  <si>
    <t>Credit Total Value</t>
  </si>
  <si>
    <t>27Q3</t>
  </si>
  <si>
    <t>Year 2</t>
  </si>
  <si>
    <t>Year 1</t>
  </si>
  <si>
    <t>Sales</t>
  </si>
  <si>
    <t>27Q4</t>
  </si>
  <si>
    <t>Personal Y1-Q4 (kumulativ)</t>
  </si>
  <si>
    <t>Y2 Cost (Cumulating)</t>
  </si>
  <si>
    <t>Personal Y1-Q3(kumulativ)</t>
  </si>
  <si>
    <t>Contractors Y1-Q3(kumulativ)</t>
  </si>
  <si>
    <t>Personal Y2-Q2 (kumulativ)</t>
  </si>
  <si>
    <t>Contractors Y2-Q2 (kumulativ)</t>
  </si>
  <si>
    <t>Personal Y2-Q1 (kumulativ)</t>
  </si>
  <si>
    <t>Contractors Y2-Q1 (kumulativ)</t>
  </si>
  <si>
    <t>Contractors Y2-Q3 (kumulativ)</t>
  </si>
  <si>
    <t>Eff. Yearly Yield (%)</t>
  </si>
  <si>
    <t>Gesamtsumme</t>
  </si>
  <si>
    <t>Paul Hannemann (Founder)</t>
  </si>
  <si>
    <t>Total Credit Cost</t>
  </si>
  <si>
    <t>Ad &amp; Content Creator</t>
  </si>
  <si>
    <t>Contractors Y2-Q4 (kumulativ)</t>
  </si>
  <si>
    <t>28Q1</t>
  </si>
  <si>
    <t>Personal Y2-Q4 (kumulativ)</t>
  </si>
  <si>
    <t>Personal Y2-Q3 (kumulativ)</t>
  </si>
  <si>
    <t>C-Suite Full-Time</t>
  </si>
  <si>
    <t>COO</t>
  </si>
  <si>
    <t xml:space="preserve">CEO + CFO </t>
  </si>
  <si>
    <t xml:space="preserve">CTO + CEO </t>
  </si>
  <si>
    <t>Seed Round 1</t>
  </si>
  <si>
    <t>Seed Round 2</t>
  </si>
  <si>
    <t>H&amp;W Digital Solutions</t>
  </si>
  <si>
    <t>Monthly Credit Cost Until Y3</t>
  </si>
  <si>
    <t>Monthly Credit Cost After Y3</t>
  </si>
  <si>
    <t>Quarter Total Employee Cost</t>
  </si>
  <si>
    <t>Quarter Total Fixed Cost</t>
  </si>
  <si>
    <t>Quarter Total Setup Revenue</t>
  </si>
  <si>
    <t>Quarter Total License Revenue</t>
  </si>
  <si>
    <t>Quarter Total License Cost</t>
  </si>
  <si>
    <t>Quarter Total Result</t>
  </si>
  <si>
    <t>Total Cash Predicted</t>
  </si>
  <si>
    <t>Total Cash - 90%  less Clients than Projected</t>
  </si>
  <si>
    <t>Quarter Total Client Revenue</t>
  </si>
  <si>
    <t>Poland</t>
  </si>
  <si>
    <t>Romania</t>
  </si>
  <si>
    <t>CMO</t>
  </si>
  <si>
    <t>/</t>
  </si>
  <si>
    <t>Seed Funding 2 (Q6)</t>
  </si>
  <si>
    <t>Cost per 0.1% Ownership</t>
  </si>
  <si>
    <t>Pessimistic Scenario:</t>
  </si>
  <si>
    <t>s</t>
  </si>
  <si>
    <t xml:space="preserve">!!!   For the Pessimistic Scenario Sales will be only </t>
  </si>
  <si>
    <t>… of the currently projected Sales!!!</t>
  </si>
  <si>
    <t>ADD KFW Credit 2 Line for next Quarter:</t>
  </si>
  <si>
    <t xml:space="preserve">&gt;&gt; Start Paying Off KFW - Credit </t>
  </si>
  <si>
    <r>
      <t>Quarter Tota</t>
    </r>
    <r>
      <rPr>
        <sz val="14"/>
        <color rgb="FF000000"/>
        <rFont val="Aptos Narrow"/>
        <scheme val="minor"/>
      </rPr>
      <t>l Credit Cost</t>
    </r>
  </si>
  <si>
    <t>Credit Line 1 - KFW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</si>
</sst>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;[Red]\-#,##0.00\ &quot;€&quot;"/>
    <numFmt numFmtId="165" formatCode="#,##0\ [$€-1];[Red]\-#,##0\ [$€-1]"/>
    <numFmt numFmtId="166" formatCode="&quot;$&quot;#,##0.00"/>
    <numFmt numFmtId="167" formatCode="#,##0.00\ [$€-1]"/>
    <numFmt numFmtId="168" formatCode="#,##0.00\ &quot;€&quot;"/>
  </numFmts>
  <fonts count="6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9" tint="-0.249977111117893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3"/>
      <color theme="8" tint="-0.249977111117893"/>
      <name val="Aptos Narrow"/>
      <family val="2"/>
      <scheme val="minor"/>
    </font>
    <font>
      <sz val="13"/>
      <color theme="8" tint="-0.249977111117893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8"/>
      <name val="Aptos Narrow"/>
      <scheme val="minor"/>
    </font>
    <font>
      <i/>
      <sz val="11"/>
      <color theme="5"/>
      <name val="Aptos Narrow"/>
      <scheme val="minor"/>
    </font>
    <font>
      <i/>
      <sz val="11"/>
      <color theme="1"/>
      <name val="Aptos Narrow"/>
      <scheme val="minor"/>
    </font>
    <font>
      <i/>
      <sz val="11"/>
      <color rgb="FF0070C0"/>
      <name val="Aptos Narrow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3C7D22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4"/>
      <color theme="6"/>
      <name val="Aptos Narrow"/>
      <family val="2"/>
      <scheme val="minor"/>
    </font>
    <font>
      <sz val="14"/>
      <color rgb="FF0070C0"/>
      <name val="Aptos Narrow"/>
      <scheme val="minor"/>
    </font>
    <font>
      <b/>
      <sz val="14"/>
      <color rgb="FF0070C0"/>
      <name val="Aptos Narrow"/>
      <scheme val="minor"/>
    </font>
    <font>
      <sz val="14"/>
      <color theme="8"/>
      <name val="Aptos Narrow"/>
      <scheme val="minor"/>
    </font>
    <font>
      <b/>
      <sz val="14"/>
      <color theme="8"/>
      <name val="Aptos Narrow"/>
      <scheme val="minor"/>
    </font>
    <font>
      <b/>
      <sz val="14"/>
      <color theme="1"/>
      <name val="Aptos Narrow (Body)"/>
    </font>
    <font>
      <b/>
      <u/>
      <sz val="14"/>
      <color rgb="FFFF0000"/>
      <name val="Aptos Narrow"/>
      <scheme val="minor"/>
    </font>
    <font>
      <sz val="14"/>
      <color rgb="FF196B24"/>
      <name val="Aptos Narrow"/>
      <family val="2"/>
      <scheme val="minor"/>
    </font>
    <font>
      <i/>
      <sz val="14"/>
      <color theme="1"/>
      <name val="Aptos Narrow"/>
      <scheme val="minor"/>
    </font>
    <font>
      <b/>
      <sz val="13"/>
      <color theme="8"/>
      <name val="Aptos Narrow"/>
      <scheme val="minor"/>
    </font>
    <font>
      <b/>
      <u/>
      <sz val="14"/>
      <color theme="1"/>
      <name val="Aptos Narrow"/>
      <scheme val="minor"/>
    </font>
    <font>
      <b/>
      <u/>
      <sz val="14"/>
      <color rgb="FF000000"/>
      <name val="Aptos Narrow"/>
      <scheme val="minor"/>
    </font>
    <font>
      <b/>
      <sz val="16"/>
      <color theme="1"/>
      <name val="Aptos Narrow (Body)"/>
    </font>
    <font>
      <sz val="14"/>
      <color theme="8"/>
      <name val="Aptos Narrow (Body)"/>
    </font>
    <font>
      <sz val="14"/>
      <color theme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A02B93"/>
      <name val="Aptos Narrow"/>
      <scheme val="minor"/>
    </font>
    <font>
      <sz val="14"/>
      <color rgb="FFA02B93"/>
      <name val="Aptos Narrow"/>
      <family val="2"/>
      <scheme val="minor"/>
    </font>
    <font>
      <b/>
      <u/>
      <sz val="18"/>
      <color theme="1"/>
      <name val="Aptos Narrow"/>
      <scheme val="minor"/>
    </font>
    <font>
      <b/>
      <u/>
      <sz val="26"/>
      <color theme="0"/>
      <name val="Aptos Narrow"/>
      <scheme val="minor"/>
    </font>
    <font>
      <b/>
      <sz val="14"/>
      <color theme="3"/>
      <name val="Aptos Narrow"/>
      <scheme val="minor"/>
    </font>
    <font>
      <b/>
      <u/>
      <sz val="14"/>
      <color rgb="FFC00000"/>
      <name val="Aptos Narrow"/>
      <scheme val="minor"/>
    </font>
    <font>
      <b/>
      <sz val="14"/>
      <color rgb="FFC00000"/>
      <name val="Aptos Narrow"/>
      <scheme val="minor"/>
    </font>
    <font>
      <sz val="14"/>
      <color rgb="FFC00000"/>
      <name val="Aptos Narrow"/>
      <scheme val="minor"/>
    </font>
    <font>
      <b/>
      <sz val="14"/>
      <color theme="6"/>
      <name val="Aptos Narrow"/>
      <scheme val="minor"/>
    </font>
    <font>
      <b/>
      <sz val="14"/>
      <color theme="5"/>
      <name val="Aptos Narrow"/>
      <scheme val="minor"/>
    </font>
    <font>
      <b/>
      <sz val="14"/>
      <color theme="9"/>
      <name val="Aptos Narrow (Body)"/>
    </font>
    <font>
      <b/>
      <sz val="14"/>
      <color theme="5" tint="-0.249977111117893"/>
      <name val="Aptos Narrow (Body)"/>
    </font>
    <font>
      <b/>
      <sz val="14"/>
      <color rgb="FFFF0000"/>
      <name val="Aptos Narrow"/>
      <scheme val="minor"/>
    </font>
    <font>
      <b/>
      <u/>
      <sz val="22"/>
      <color rgb="FFC00000"/>
      <name val="Aptos Narrow (Body)"/>
    </font>
    <font>
      <b/>
      <u/>
      <sz val="14"/>
      <color rgb="FFFFC000"/>
      <name val="Aptos Narrow"/>
      <scheme val="minor"/>
    </font>
    <font>
      <sz val="14"/>
      <color rgb="FFFFC000"/>
      <name val="Aptos Narrow (Body)"/>
    </font>
    <font>
      <sz val="14"/>
      <color rgb="FF00000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6262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9" fillId="0" borderId="0" xfId="0" applyFont="1"/>
    <xf numFmtId="0" fontId="3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3" fillId="2" borderId="1" xfId="0" applyFont="1" applyFill="1" applyBorder="1"/>
    <xf numFmtId="0" fontId="9" fillId="2" borderId="1" xfId="0" applyFont="1" applyFill="1" applyBorder="1"/>
    <xf numFmtId="0" fontId="8" fillId="2" borderId="1" xfId="0" applyFont="1" applyFill="1" applyBorder="1"/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165" fontId="14" fillId="0" borderId="0" xfId="0" applyNumberFormat="1" applyFont="1"/>
    <xf numFmtId="0" fontId="16" fillId="0" borderId="0" xfId="0" applyFont="1"/>
    <xf numFmtId="0" fontId="10" fillId="0" borderId="1" xfId="0" applyFont="1" applyBorder="1"/>
    <xf numFmtId="165" fontId="10" fillId="0" borderId="1" xfId="0" applyNumberFormat="1" applyFont="1" applyBorder="1"/>
    <xf numFmtId="0" fontId="11" fillId="0" borderId="1" xfId="0" applyFont="1" applyBorder="1"/>
    <xf numFmtId="165" fontId="11" fillId="0" borderId="1" xfId="0" applyNumberFormat="1" applyFont="1" applyBorder="1"/>
    <xf numFmtId="0" fontId="17" fillId="0" borderId="1" xfId="0" applyFont="1" applyBorder="1"/>
    <xf numFmtId="0" fontId="17" fillId="2" borderId="1" xfId="0" applyFont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5" fontId="9" fillId="0" borderId="0" xfId="0" applyNumberFormat="1" applyFont="1"/>
    <xf numFmtId="0" fontId="19" fillId="0" borderId="1" xfId="0" applyFont="1" applyBorder="1"/>
    <xf numFmtId="165" fontId="19" fillId="0" borderId="1" xfId="0" applyNumberFormat="1" applyFont="1" applyBorder="1"/>
    <xf numFmtId="165" fontId="17" fillId="0" borderId="1" xfId="0" applyNumberFormat="1" applyFont="1" applyBorder="1"/>
    <xf numFmtId="0" fontId="0" fillId="0" borderId="2" xfId="0" applyBorder="1" applyAlignment="1">
      <alignment vertical="center" wrapText="1"/>
    </xf>
    <xf numFmtId="165" fontId="17" fillId="2" borderId="1" xfId="0" applyNumberFormat="1" applyFont="1" applyFill="1" applyBorder="1"/>
    <xf numFmtId="0" fontId="20" fillId="0" borderId="0" xfId="0" applyFont="1"/>
    <xf numFmtId="165" fontId="21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0" fillId="7" borderId="0" xfId="0" applyFont="1" applyFill="1"/>
    <xf numFmtId="0" fontId="27" fillId="6" borderId="1" xfId="0" applyFont="1" applyFill="1" applyBorder="1"/>
    <xf numFmtId="166" fontId="31" fillId="6" borderId="1" xfId="0" applyNumberFormat="1" applyFont="1" applyFill="1" applyBorder="1"/>
    <xf numFmtId="0" fontId="31" fillId="6" borderId="1" xfId="0" applyFont="1" applyFill="1" applyBorder="1"/>
    <xf numFmtId="166" fontId="27" fillId="6" borderId="1" xfId="0" applyNumberFormat="1" applyFont="1" applyFill="1" applyBorder="1"/>
    <xf numFmtId="0" fontId="32" fillId="0" borderId="1" xfId="0" applyFont="1" applyBorder="1"/>
    <xf numFmtId="167" fontId="29" fillId="0" borderId="1" xfId="0" applyNumberFormat="1" applyFont="1" applyBorder="1"/>
    <xf numFmtId="0" fontId="33" fillId="0" borderId="0" xfId="0" applyFont="1"/>
    <xf numFmtId="0" fontId="33" fillId="0" borderId="1" xfId="0" applyFont="1" applyBorder="1"/>
    <xf numFmtId="167" fontId="30" fillId="0" borderId="0" xfId="0" applyNumberFormat="1" applyFont="1"/>
    <xf numFmtId="0" fontId="32" fillId="0" borderId="0" xfId="0" applyFont="1"/>
    <xf numFmtId="0" fontId="34" fillId="0" borderId="1" xfId="0" applyFont="1" applyBorder="1"/>
    <xf numFmtId="0" fontId="35" fillId="0" borderId="1" xfId="0" applyFont="1" applyBorder="1"/>
    <xf numFmtId="0" fontId="36" fillId="0" borderId="1" xfId="0" applyFont="1" applyBorder="1"/>
    <xf numFmtId="167" fontId="36" fillId="0" borderId="1" xfId="0" applyNumberFormat="1" applyFont="1" applyBorder="1"/>
    <xf numFmtId="0" fontId="37" fillId="0" borderId="1" xfId="0" applyFont="1" applyBorder="1"/>
    <xf numFmtId="167" fontId="38" fillId="0" borderId="1" xfId="0" applyNumberFormat="1" applyFont="1" applyBorder="1"/>
    <xf numFmtId="0" fontId="39" fillId="6" borderId="1" xfId="0" applyFont="1" applyFill="1" applyBorder="1"/>
    <xf numFmtId="0" fontId="32" fillId="6" borderId="1" xfId="0" applyFont="1" applyFill="1" applyBorder="1"/>
    <xf numFmtId="167" fontId="29" fillId="2" borderId="1" xfId="0" applyNumberFormat="1" applyFont="1" applyFill="1" applyBorder="1"/>
    <xf numFmtId="0" fontId="30" fillId="2" borderId="0" xfId="0" applyFont="1" applyFill="1"/>
    <xf numFmtId="167" fontId="40" fillId="2" borderId="0" xfId="0" applyNumberFormat="1" applyFont="1" applyFill="1"/>
    <xf numFmtId="167" fontId="40" fillId="3" borderId="1" xfId="0" applyNumberFormat="1" applyFont="1" applyFill="1" applyBorder="1"/>
    <xf numFmtId="167" fontId="40" fillId="0" borderId="0" xfId="0" applyNumberFormat="1" applyFont="1"/>
    <xf numFmtId="0" fontId="28" fillId="8" borderId="0" xfId="0" applyFont="1" applyFill="1"/>
    <xf numFmtId="0" fontId="32" fillId="0" borderId="8" xfId="0" applyFont="1" applyBorder="1"/>
    <xf numFmtId="0" fontId="28" fillId="0" borderId="1" xfId="0" applyFont="1" applyBorder="1"/>
    <xf numFmtId="0" fontId="30" fillId="0" borderId="1" xfId="0" applyFont="1" applyBorder="1"/>
    <xf numFmtId="0" fontId="33" fillId="0" borderId="8" xfId="0" applyFont="1" applyBorder="1"/>
    <xf numFmtId="0" fontId="33" fillId="6" borderId="1" xfId="0" applyFont="1" applyFill="1" applyBorder="1"/>
    <xf numFmtId="166" fontId="31" fillId="6" borderId="3" xfId="0" applyNumberFormat="1" applyFont="1" applyFill="1" applyBorder="1"/>
    <xf numFmtId="0" fontId="27" fillId="6" borderId="3" xfId="0" applyFont="1" applyFill="1" applyBorder="1"/>
    <xf numFmtId="0" fontId="31" fillId="6" borderId="3" xfId="0" applyFont="1" applyFill="1" applyBorder="1"/>
    <xf numFmtId="167" fontId="31" fillId="0" borderId="1" xfId="0" applyNumberFormat="1" applyFont="1" applyBorder="1"/>
    <xf numFmtId="167" fontId="28" fillId="0" borderId="0" xfId="0" applyNumberFormat="1" applyFont="1"/>
    <xf numFmtId="0" fontId="41" fillId="0" borderId="1" xfId="0" applyFont="1" applyBorder="1"/>
    <xf numFmtId="0" fontId="42" fillId="0" borderId="0" xfId="0" applyFont="1"/>
    <xf numFmtId="0" fontId="32" fillId="0" borderId="4" xfId="0" applyFont="1" applyBorder="1"/>
    <xf numFmtId="0" fontId="32" fillId="0" borderId="7" xfId="0" applyFont="1" applyBorder="1"/>
    <xf numFmtId="0" fontId="33" fillId="0" borderId="4" xfId="0" applyFont="1" applyBorder="1"/>
    <xf numFmtId="0" fontId="32" fillId="0" borderId="5" xfId="0" applyFont="1" applyBorder="1"/>
    <xf numFmtId="167" fontId="40" fillId="6" borderId="0" xfId="0" applyNumberFormat="1" applyFont="1" applyFill="1"/>
    <xf numFmtId="165" fontId="43" fillId="0" borderId="0" xfId="0" applyNumberFormat="1" applyFont="1"/>
    <xf numFmtId="0" fontId="32" fillId="0" borderId="6" xfId="0" applyFont="1" applyBorder="1"/>
    <xf numFmtId="167" fontId="44" fillId="2" borderId="1" xfId="0" applyNumberFormat="1" applyFont="1" applyFill="1" applyBorder="1"/>
    <xf numFmtId="167" fontId="45" fillId="6" borderId="1" xfId="0" applyNumberFormat="1" applyFont="1" applyFill="1" applyBorder="1"/>
    <xf numFmtId="0" fontId="46" fillId="0" borderId="0" xfId="0" applyFont="1"/>
    <xf numFmtId="0" fontId="47" fillId="0" borderId="1" xfId="0" applyFont="1" applyBorder="1"/>
    <xf numFmtId="0" fontId="48" fillId="0" borderId="1" xfId="0" applyFont="1" applyBorder="1"/>
    <xf numFmtId="0" fontId="49" fillId="0" borderId="0" xfId="0" applyFont="1"/>
    <xf numFmtId="0" fontId="31" fillId="0" borderId="0" xfId="0" applyFont="1"/>
    <xf numFmtId="0" fontId="0" fillId="0" borderId="1" xfId="0" applyBorder="1"/>
    <xf numFmtId="0" fontId="50" fillId="0" borderId="1" xfId="0" applyFont="1" applyBorder="1"/>
    <xf numFmtId="0" fontId="51" fillId="0" borderId="3" xfId="0" applyFont="1" applyBorder="1"/>
    <xf numFmtId="164" fontId="9" fillId="0" borderId="1" xfId="0" applyNumberFormat="1" applyFont="1" applyBorder="1"/>
    <xf numFmtId="0" fontId="39" fillId="0" borderId="0" xfId="0" applyFont="1"/>
    <xf numFmtId="167" fontId="44" fillId="0" borderId="0" xfId="0" applyNumberFormat="1" applyFont="1"/>
    <xf numFmtId="167" fontId="40" fillId="9" borderId="1" xfId="0" applyNumberFormat="1" applyFont="1" applyFill="1" applyBorder="1"/>
    <xf numFmtId="166" fontId="27" fillId="0" borderId="0" xfId="0" applyNumberFormat="1" applyFont="1"/>
    <xf numFmtId="167" fontId="29" fillId="0" borderId="0" xfId="0" applyNumberFormat="1" applyFont="1"/>
    <xf numFmtId="167" fontId="31" fillId="0" borderId="0" xfId="0" applyNumberFormat="1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167" fontId="36" fillId="0" borderId="0" xfId="0" applyNumberFormat="1" applyFont="1"/>
    <xf numFmtId="0" fontId="37" fillId="0" borderId="0" xfId="0" applyFont="1"/>
    <xf numFmtId="0" fontId="47" fillId="0" borderId="0" xfId="0" applyFont="1"/>
    <xf numFmtId="0" fontId="48" fillId="0" borderId="0" xfId="0" applyFont="1"/>
    <xf numFmtId="167" fontId="31" fillId="0" borderId="5" xfId="0" applyNumberFormat="1" applyFont="1" applyBorder="1"/>
    <xf numFmtId="0" fontId="33" fillId="0" borderId="5" xfId="0" applyFont="1" applyBorder="1"/>
    <xf numFmtId="0" fontId="41" fillId="0" borderId="4" xfId="0" applyFont="1" applyBorder="1"/>
    <xf numFmtId="0" fontId="50" fillId="0" borderId="4" xfId="0" applyFont="1" applyBorder="1"/>
    <xf numFmtId="0" fontId="51" fillId="0" borderId="5" xfId="0" applyFont="1" applyBorder="1"/>
    <xf numFmtId="0" fontId="31" fillId="6" borderId="4" xfId="0" applyFont="1" applyFill="1" applyBorder="1"/>
    <xf numFmtId="0" fontId="32" fillId="6" borderId="5" xfId="0" applyFont="1" applyFill="1" applyBorder="1"/>
    <xf numFmtId="167" fontId="45" fillId="6" borderId="5" xfId="0" applyNumberFormat="1" applyFont="1" applyFill="1" applyBorder="1"/>
    <xf numFmtId="167" fontId="45" fillId="0" borderId="0" xfId="0" applyNumberFormat="1" applyFont="1"/>
    <xf numFmtId="167" fontId="40" fillId="10" borderId="4" xfId="0" applyNumberFormat="1" applyFont="1" applyFill="1" applyBorder="1"/>
    <xf numFmtId="0" fontId="34" fillId="2" borderId="1" xfId="0" applyFont="1" applyFill="1" applyBorder="1"/>
    <xf numFmtId="10" fontId="29" fillId="0" borderId="1" xfId="0" applyNumberFormat="1" applyFont="1" applyBorder="1"/>
    <xf numFmtId="10" fontId="29" fillId="2" borderId="1" xfId="0" applyNumberFormat="1" applyFont="1" applyFill="1" applyBorder="1"/>
    <xf numFmtId="0" fontId="52" fillId="0" borderId="0" xfId="0" applyFont="1"/>
    <xf numFmtId="166" fontId="31" fillId="0" borderId="0" xfId="0" applyNumberFormat="1" applyFont="1"/>
    <xf numFmtId="10" fontId="29" fillId="0" borderId="0" xfId="0" applyNumberFormat="1" applyFont="1"/>
    <xf numFmtId="0" fontId="50" fillId="0" borderId="0" xfId="0" applyFont="1"/>
    <xf numFmtId="0" fontId="51" fillId="0" borderId="0" xfId="0" applyFont="1"/>
    <xf numFmtId="0" fontId="29" fillId="11" borderId="0" xfId="0" applyFont="1" applyFill="1"/>
    <xf numFmtId="0" fontId="30" fillId="11" borderId="0" xfId="0" applyFont="1" applyFill="1"/>
    <xf numFmtId="0" fontId="53" fillId="11" borderId="0" xfId="0" applyFont="1" applyFill="1"/>
    <xf numFmtId="168" fontId="29" fillId="0" borderId="1" xfId="0" applyNumberFormat="1" applyFont="1" applyBorder="1"/>
    <xf numFmtId="0" fontId="27" fillId="6" borderId="8" xfId="0" applyFont="1" applyFill="1" applyBorder="1"/>
    <xf numFmtId="0" fontId="22" fillId="0" borderId="1" xfId="0" applyFont="1" applyBorder="1"/>
    <xf numFmtId="167" fontId="44" fillId="9" borderId="1" xfId="0" applyNumberFormat="1" applyFont="1" applyFill="1" applyBorder="1"/>
    <xf numFmtId="0" fontId="54" fillId="9" borderId="1" xfId="0" applyFont="1" applyFill="1" applyBorder="1"/>
    <xf numFmtId="167" fontId="55" fillId="0" borderId="1" xfId="0" applyNumberFormat="1" applyFont="1" applyBorder="1"/>
    <xf numFmtId="0" fontId="56" fillId="0" borderId="1" xfId="0" applyFont="1" applyBorder="1"/>
    <xf numFmtId="0" fontId="57" fillId="0" borderId="0" xfId="0" applyFont="1"/>
    <xf numFmtId="167" fontId="29" fillId="9" borderId="1" xfId="0" applyNumberFormat="1" applyFont="1" applyFill="1" applyBorder="1"/>
    <xf numFmtId="167" fontId="58" fillId="9" borderId="1" xfId="0" applyNumberFormat="1" applyFont="1" applyFill="1" applyBorder="1"/>
    <xf numFmtId="167" fontId="56" fillId="9" borderId="1" xfId="0" applyNumberFormat="1" applyFont="1" applyFill="1" applyBorder="1"/>
    <xf numFmtId="167" fontId="58" fillId="0" borderId="1" xfId="0" applyNumberFormat="1" applyFont="1" applyBorder="1"/>
    <xf numFmtId="168" fontId="27" fillId="6" borderId="1" xfId="0" applyNumberFormat="1" applyFont="1" applyFill="1" applyBorder="1"/>
    <xf numFmtId="168" fontId="27" fillId="0" borderId="0" xfId="0" applyNumberFormat="1" applyFont="1"/>
    <xf numFmtId="168" fontId="31" fillId="0" borderId="10" xfId="0" applyNumberFormat="1" applyFont="1" applyBorder="1"/>
    <xf numFmtId="168" fontId="29" fillId="0" borderId="9" xfId="0" applyNumberFormat="1" applyFont="1" applyBorder="1"/>
    <xf numFmtId="0" fontId="27" fillId="12" borderId="1" xfId="0" applyFont="1" applyFill="1" applyBorder="1"/>
    <xf numFmtId="167" fontId="56" fillId="13" borderId="1" xfId="0" applyNumberFormat="1" applyFont="1" applyFill="1" applyBorder="1"/>
    <xf numFmtId="167" fontId="58" fillId="13" borderId="1" xfId="0" applyNumberFormat="1" applyFont="1" applyFill="1" applyBorder="1"/>
    <xf numFmtId="167" fontId="29" fillId="13" borderId="1" xfId="0" applyNumberFormat="1" applyFont="1" applyFill="1" applyBorder="1"/>
    <xf numFmtId="168" fontId="58" fillId="14" borderId="1" xfId="0" applyNumberFormat="1" applyFont="1" applyFill="1" applyBorder="1"/>
    <xf numFmtId="168" fontId="58" fillId="13" borderId="1" xfId="0" applyNumberFormat="1" applyFont="1" applyFill="1" applyBorder="1"/>
    <xf numFmtId="168" fontId="59" fillId="13" borderId="1" xfId="0" applyNumberFormat="1" applyFont="1" applyFill="1" applyBorder="1"/>
    <xf numFmtId="2" fontId="31" fillId="6" borderId="1" xfId="0" applyNumberFormat="1" applyFont="1" applyFill="1" applyBorder="1"/>
    <xf numFmtId="2" fontId="29" fillId="0" borderId="1" xfId="0" applyNumberFormat="1" applyFont="1" applyBorder="1"/>
    <xf numFmtId="2" fontId="29" fillId="2" borderId="1" xfId="0" applyNumberFormat="1" applyFont="1" applyFill="1" applyBorder="1"/>
    <xf numFmtId="168" fontId="62" fillId="13" borderId="1" xfId="0" applyNumberFormat="1" applyFont="1" applyFill="1" applyBorder="1"/>
    <xf numFmtId="10" fontId="31" fillId="6" borderId="1" xfId="0" applyNumberFormat="1" applyFont="1" applyFill="1" applyBorder="1"/>
    <xf numFmtId="168" fontId="31" fillId="6" borderId="1" xfId="0" applyNumberFormat="1" applyFont="1" applyFill="1" applyBorder="1"/>
    <xf numFmtId="168" fontId="29" fillId="2" borderId="1" xfId="0" applyNumberFormat="1" applyFont="1" applyFill="1" applyBorder="1"/>
    <xf numFmtId="0" fontId="56" fillId="0" borderId="0" xfId="0" applyFont="1"/>
    <xf numFmtId="167" fontId="58" fillId="0" borderId="0" xfId="0" applyNumberFormat="1" applyFont="1"/>
    <xf numFmtId="167" fontId="58" fillId="13" borderId="0" xfId="0" applyNumberFormat="1" applyFont="1" applyFill="1"/>
    <xf numFmtId="167" fontId="29" fillId="3" borderId="1" xfId="0" applyNumberFormat="1" applyFont="1" applyFill="1" applyBorder="1"/>
    <xf numFmtId="167" fontId="58" fillId="3" borderId="1" xfId="0" applyNumberFormat="1" applyFont="1" applyFill="1" applyBorder="1"/>
    <xf numFmtId="167" fontId="63" fillId="13" borderId="0" xfId="0" applyNumberFormat="1" applyFont="1" applyFill="1"/>
    <xf numFmtId="0" fontId="57" fillId="13" borderId="0" xfId="0" applyFont="1" applyFill="1"/>
    <xf numFmtId="10" fontId="64" fillId="15" borderId="0" xfId="0" applyNumberFormat="1" applyFont="1" applyFill="1" applyAlignment="1">
      <alignment horizontal="center" vertical="center"/>
    </xf>
    <xf numFmtId="167" fontId="65" fillId="15" borderId="0" xfId="0" applyNumberFormat="1" applyFont="1" applyFill="1"/>
    <xf numFmtId="167" fontId="65" fillId="15" borderId="0" xfId="0" applyNumberFormat="1" applyFont="1" applyFill="1" applyAlignment="1">
      <alignment horizontal="center" vertical="center"/>
    </xf>
    <xf numFmtId="0" fontId="59" fillId="0" borderId="0" xfId="0" applyFont="1"/>
    <xf numFmtId="168" fontId="54" fillId="0" borderId="0" xfId="0" applyNumberFormat="1" applyFont="1"/>
    <xf numFmtId="168" fontId="61" fillId="0" borderId="0" xfId="0" applyNumberFormat="1" applyFont="1"/>
    <xf numFmtId="165" fontId="59" fillId="13" borderId="0" xfId="0" applyNumberFormat="1" applyFont="1" applyFill="1" applyAlignment="1">
      <alignment horizontal="center"/>
    </xf>
    <xf numFmtId="0" fontId="59" fillId="13" borderId="0" xfId="0" applyFont="1" applyFill="1" applyAlignment="1">
      <alignment horizontal="center"/>
    </xf>
    <xf numFmtId="168" fontId="60" fillId="14" borderId="0" xfId="0" applyNumberFormat="1" applyFont="1" applyFill="1" applyAlignment="1">
      <alignment horizontal="center"/>
    </xf>
    <xf numFmtId="168" fontId="54" fillId="0" borderId="0" xfId="0" applyNumberFormat="1" applyFont="1" applyAlignment="1">
      <alignment horizontal="center"/>
    </xf>
    <xf numFmtId="168" fontId="59" fillId="13" borderId="0" xfId="0" applyNumberFormat="1" applyFont="1" applyFill="1" applyAlignment="1">
      <alignment horizontal="center"/>
    </xf>
    <xf numFmtId="0" fontId="16" fillId="16" borderId="11" xfId="0" applyFont="1" applyFill="1" applyBorder="1"/>
    <xf numFmtId="168" fontId="16" fillId="16" borderId="9" xfId="0" applyNumberFormat="1" applyFont="1" applyFill="1" applyBorder="1"/>
    <xf numFmtId="168" fontId="16" fillId="16" borderId="12" xfId="0" applyNumberFormat="1" applyFont="1" applyFill="1" applyBorder="1"/>
    <xf numFmtId="0" fontId="30" fillId="0" borderId="11" xfId="0" applyFont="1" applyBorder="1"/>
    <xf numFmtId="168" fontId="30" fillId="0" borderId="9" xfId="0" applyNumberFormat="1" applyFont="1" applyBorder="1"/>
    <xf numFmtId="168" fontId="30" fillId="0" borderId="12" xfId="0" applyNumberFormat="1" applyFont="1" applyBorder="1"/>
    <xf numFmtId="0" fontId="30" fillId="16" borderId="11" xfId="0" applyFont="1" applyFill="1" applyBorder="1"/>
    <xf numFmtId="168" fontId="30" fillId="16" borderId="9" xfId="0" applyNumberFormat="1" applyFont="1" applyFill="1" applyBorder="1"/>
    <xf numFmtId="168" fontId="30" fillId="16" borderId="12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7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BAE1-AE2D-9B45-9D38-C812E69A9DA2}">
  <dimension ref="A1:K140"/>
  <sheetViews>
    <sheetView workbookViewId="0">
      <selection activeCell="F18" sqref="F18"/>
    </sheetView>
  </sheetViews>
  <sheetFormatPr baseColWidth="10" defaultRowHeight="15" x14ac:dyDescent="0.2"/>
  <cols>
    <col min="1" max="1" width="31.5" customWidth="1"/>
    <col min="2" max="2" width="23.6640625" customWidth="1"/>
    <col min="3" max="3" width="22.1640625" customWidth="1"/>
    <col min="4" max="4" width="27.33203125" customWidth="1"/>
    <col min="5" max="5" width="31.83203125" customWidth="1"/>
    <col min="6" max="6" width="28.6640625" customWidth="1"/>
    <col min="7" max="7" width="28.83203125" customWidth="1"/>
    <col min="8" max="8" width="21" customWidth="1"/>
    <col min="9" max="9" width="25.6640625" customWidth="1"/>
    <col min="10" max="10" width="14.5" customWidth="1"/>
    <col min="11" max="11" width="16.1640625" customWidth="1"/>
  </cols>
  <sheetData>
    <row r="1" spans="1:11" ht="24" x14ac:dyDescent="0.3">
      <c r="A1" s="141" t="s">
        <v>189</v>
      </c>
      <c r="F1" s="141" t="s">
        <v>237</v>
      </c>
    </row>
    <row r="3" spans="1:11" ht="19" x14ac:dyDescent="0.25">
      <c r="A3" s="61" t="s">
        <v>184</v>
      </c>
      <c r="B3" s="62" t="s">
        <v>183</v>
      </c>
      <c r="C3" s="176" t="s">
        <v>188</v>
      </c>
      <c r="D3" s="177" t="s">
        <v>238</v>
      </c>
      <c r="F3" s="61" t="s">
        <v>184</v>
      </c>
      <c r="G3" s="62" t="s">
        <v>183</v>
      </c>
      <c r="H3" s="176" t="s">
        <v>188</v>
      </c>
      <c r="I3" s="177" t="s">
        <v>238</v>
      </c>
      <c r="K3" s="142"/>
    </row>
    <row r="4" spans="1:11" ht="19" x14ac:dyDescent="0.25">
      <c r="A4" s="65" t="s">
        <v>185</v>
      </c>
      <c r="B4" s="66">
        <v>10000</v>
      </c>
      <c r="C4" s="139">
        <v>0.34</v>
      </c>
      <c r="D4" s="149" t="s">
        <v>236</v>
      </c>
      <c r="F4" s="65" t="s">
        <v>185</v>
      </c>
      <c r="G4" s="66" t="s">
        <v>236</v>
      </c>
      <c r="H4" s="139">
        <v>0.34</v>
      </c>
      <c r="I4" s="149" t="s">
        <v>236</v>
      </c>
      <c r="K4" s="143"/>
    </row>
    <row r="5" spans="1:11" ht="19" x14ac:dyDescent="0.25">
      <c r="A5" s="65" t="s">
        <v>186</v>
      </c>
      <c r="B5" s="66">
        <v>25000</v>
      </c>
      <c r="C5" s="139">
        <v>0.17</v>
      </c>
      <c r="D5" s="149" t="s">
        <v>236</v>
      </c>
      <c r="F5" s="65" t="s">
        <v>186</v>
      </c>
      <c r="G5" s="66" t="s">
        <v>236</v>
      </c>
      <c r="H5" s="139">
        <v>0.17</v>
      </c>
      <c r="I5" s="149" t="s">
        <v>236</v>
      </c>
    </row>
    <row r="6" spans="1:11" ht="19" x14ac:dyDescent="0.25">
      <c r="A6" s="65" t="s">
        <v>221</v>
      </c>
      <c r="B6" s="66">
        <v>1000</v>
      </c>
      <c r="C6" s="139">
        <v>0.2</v>
      </c>
      <c r="D6" s="149" t="s">
        <v>236</v>
      </c>
      <c r="F6" s="65" t="s">
        <v>221</v>
      </c>
      <c r="G6" s="66" t="s">
        <v>236</v>
      </c>
      <c r="H6" s="139">
        <v>0.18</v>
      </c>
      <c r="I6" s="149" t="s">
        <v>236</v>
      </c>
    </row>
    <row r="7" spans="1:11" ht="19" x14ac:dyDescent="0.25">
      <c r="A7" s="65" t="s">
        <v>208</v>
      </c>
      <c r="B7" s="66">
        <v>2500</v>
      </c>
      <c r="C7" s="139">
        <v>0.24</v>
      </c>
      <c r="D7" s="149" t="s">
        <v>236</v>
      </c>
      <c r="F7" s="65" t="s">
        <v>208</v>
      </c>
      <c r="G7" s="66" t="s">
        <v>236</v>
      </c>
      <c r="H7" s="139">
        <v>0.24</v>
      </c>
      <c r="I7" s="149" t="s">
        <v>236</v>
      </c>
    </row>
    <row r="8" spans="1:11" ht="19" x14ac:dyDescent="0.25">
      <c r="A8" s="65" t="s">
        <v>219</v>
      </c>
      <c r="B8" s="66">
        <v>250000</v>
      </c>
      <c r="C8" s="139">
        <v>0.05</v>
      </c>
      <c r="D8" s="149">
        <f>(B8/(C8*100))/10</f>
        <v>5000</v>
      </c>
      <c r="F8" s="65" t="s">
        <v>219</v>
      </c>
      <c r="G8" s="66" t="s">
        <v>236</v>
      </c>
      <c r="H8" s="139">
        <v>0.05</v>
      </c>
      <c r="I8" s="149" t="s">
        <v>236</v>
      </c>
    </row>
    <row r="9" spans="1:11" ht="19" x14ac:dyDescent="0.25">
      <c r="A9" s="71"/>
      <c r="B9" s="66"/>
      <c r="C9" s="139"/>
      <c r="D9" s="149"/>
      <c r="F9" s="71" t="s">
        <v>220</v>
      </c>
      <c r="G9" s="66">
        <v>500000</v>
      </c>
      <c r="H9" s="139">
        <v>0.02</v>
      </c>
      <c r="I9" s="149">
        <f>(G9/(H9*100))/10</f>
        <v>25000</v>
      </c>
    </row>
    <row r="10" spans="1:11" ht="19" x14ac:dyDescent="0.25">
      <c r="A10" s="71"/>
      <c r="B10" s="66"/>
      <c r="C10" s="139"/>
      <c r="D10" s="149"/>
      <c r="F10" s="71"/>
      <c r="G10" s="66"/>
      <c r="H10" s="139"/>
      <c r="I10" s="149"/>
    </row>
    <row r="11" spans="1:11" ht="19" x14ac:dyDescent="0.25">
      <c r="A11" s="71"/>
      <c r="B11" s="66"/>
      <c r="C11" s="139"/>
      <c r="D11" s="149"/>
      <c r="F11" s="71"/>
      <c r="G11" s="66"/>
      <c r="H11" s="139"/>
      <c r="I11" s="149"/>
    </row>
    <row r="12" spans="1:11" ht="19" x14ac:dyDescent="0.25">
      <c r="A12" s="138" t="s">
        <v>187</v>
      </c>
      <c r="B12" s="79">
        <f>SUM(B4:B11)</f>
        <v>288500</v>
      </c>
      <c r="C12" s="140">
        <f>SUM(C4:C11)</f>
        <v>1</v>
      </c>
      <c r="D12" s="178">
        <f>SUM(D4:D11)</f>
        <v>5000</v>
      </c>
      <c r="F12" s="138" t="s">
        <v>187</v>
      </c>
      <c r="G12" s="79">
        <f>SUM(G4:G11)</f>
        <v>500000</v>
      </c>
      <c r="H12" s="140">
        <f>SUM(H4:H11)</f>
        <v>1</v>
      </c>
      <c r="I12" s="178">
        <f>SUM(I4:I11)</f>
        <v>25000</v>
      </c>
    </row>
    <row r="13" spans="1:11" ht="57" customHeight="1" x14ac:dyDescent="0.25">
      <c r="A13" s="121"/>
      <c r="B13" s="119"/>
      <c r="C13" s="143"/>
    </row>
    <row r="15" spans="1:11" ht="24" x14ac:dyDescent="0.3">
      <c r="A15" s="141" t="s">
        <v>246</v>
      </c>
    </row>
    <row r="17" spans="1:6" ht="19" x14ac:dyDescent="0.25">
      <c r="A17" s="61" t="s">
        <v>184</v>
      </c>
      <c r="B17" s="62" t="s">
        <v>191</v>
      </c>
      <c r="C17" s="62" t="s">
        <v>206</v>
      </c>
      <c r="D17" s="62" t="s">
        <v>209</v>
      </c>
      <c r="E17" s="62" t="s">
        <v>222</v>
      </c>
      <c r="F17" s="62" t="s">
        <v>223</v>
      </c>
    </row>
    <row r="18" spans="1:6" ht="19" x14ac:dyDescent="0.25">
      <c r="A18" s="65" t="s">
        <v>190</v>
      </c>
      <c r="B18" s="66">
        <v>375000</v>
      </c>
      <c r="C18" s="139">
        <v>0.05</v>
      </c>
      <c r="D18" s="164">
        <v>114843.78</v>
      </c>
      <c r="E18" s="66">
        <v>0</v>
      </c>
      <c r="F18" s="163">
        <f>SUM(11718.75 / 3)</f>
        <v>3906.25</v>
      </c>
    </row>
    <row r="19" spans="1:6" ht="19" x14ac:dyDescent="0.25">
      <c r="A19" s="70"/>
      <c r="B19" s="119"/>
      <c r="C19" s="143"/>
      <c r="E19" s="143"/>
    </row>
    <row r="20" spans="1:6" s="59" customFormat="1" ht="19" x14ac:dyDescent="0.25">
      <c r="A20" s="197" t="s">
        <v>207</v>
      </c>
      <c r="B20" s="198">
        <v>375000</v>
      </c>
      <c r="C20" s="198">
        <v>114843.78</v>
      </c>
      <c r="D20" s="198">
        <v>489843.78</v>
      </c>
      <c r="E20" s="199">
        <v>0</v>
      </c>
    </row>
    <row r="21" spans="1:6" s="59" customFormat="1" ht="19" x14ac:dyDescent="0.25">
      <c r="A21" s="200">
        <v>1</v>
      </c>
      <c r="B21" s="201">
        <v>0</v>
      </c>
      <c r="C21" s="201">
        <v>1562.5</v>
      </c>
      <c r="D21" s="201">
        <v>1562.5</v>
      </c>
      <c r="E21" s="202">
        <v>375000</v>
      </c>
    </row>
    <row r="22" spans="1:6" s="59" customFormat="1" ht="19" x14ac:dyDescent="0.25">
      <c r="A22" s="203">
        <v>2</v>
      </c>
      <c r="B22" s="204">
        <v>0</v>
      </c>
      <c r="C22" s="204">
        <v>1562.5</v>
      </c>
      <c r="D22" s="204">
        <v>1562.5</v>
      </c>
      <c r="E22" s="205">
        <v>375000</v>
      </c>
    </row>
    <row r="23" spans="1:6" s="59" customFormat="1" ht="19" x14ac:dyDescent="0.25">
      <c r="A23" s="200">
        <v>3</v>
      </c>
      <c r="B23" s="201">
        <v>0</v>
      </c>
      <c r="C23" s="201">
        <v>1562.5</v>
      </c>
      <c r="D23" s="201">
        <v>1562.5</v>
      </c>
      <c r="E23" s="202">
        <v>375000</v>
      </c>
    </row>
    <row r="24" spans="1:6" s="59" customFormat="1" ht="19" x14ac:dyDescent="0.25">
      <c r="A24" s="203">
        <v>4</v>
      </c>
      <c r="B24" s="204">
        <v>0</v>
      </c>
      <c r="C24" s="204">
        <v>1562.5</v>
      </c>
      <c r="D24" s="204">
        <v>1562.5</v>
      </c>
      <c r="E24" s="205">
        <v>375000</v>
      </c>
    </row>
    <row r="25" spans="1:6" s="59" customFormat="1" ht="19" x14ac:dyDescent="0.25">
      <c r="A25" s="200">
        <v>5</v>
      </c>
      <c r="B25" s="201">
        <v>0</v>
      </c>
      <c r="C25" s="201">
        <v>1562.5</v>
      </c>
      <c r="D25" s="201">
        <v>1562.5</v>
      </c>
      <c r="E25" s="202">
        <v>375000</v>
      </c>
    </row>
    <row r="26" spans="1:6" s="59" customFormat="1" ht="19" x14ac:dyDescent="0.25">
      <c r="A26" s="203">
        <v>6</v>
      </c>
      <c r="B26" s="204">
        <v>0</v>
      </c>
      <c r="C26" s="204">
        <v>1562.5</v>
      </c>
      <c r="D26" s="204">
        <v>1562.5</v>
      </c>
      <c r="E26" s="205">
        <v>375000</v>
      </c>
    </row>
    <row r="27" spans="1:6" s="59" customFormat="1" ht="19" x14ac:dyDescent="0.25">
      <c r="A27" s="200">
        <v>7</v>
      </c>
      <c r="B27" s="201">
        <v>0</v>
      </c>
      <c r="C27" s="201">
        <v>1562.5</v>
      </c>
      <c r="D27" s="201">
        <v>1562.5</v>
      </c>
      <c r="E27" s="202">
        <v>375000</v>
      </c>
    </row>
    <row r="28" spans="1:6" s="59" customFormat="1" ht="19" x14ac:dyDescent="0.25">
      <c r="A28" s="203">
        <v>8</v>
      </c>
      <c r="B28" s="204">
        <v>0</v>
      </c>
      <c r="C28" s="204">
        <v>1562.5</v>
      </c>
      <c r="D28" s="204">
        <v>1562.5</v>
      </c>
      <c r="E28" s="205">
        <v>375000</v>
      </c>
    </row>
    <row r="29" spans="1:6" s="59" customFormat="1" ht="19" x14ac:dyDescent="0.25">
      <c r="A29" s="200">
        <v>9</v>
      </c>
      <c r="B29" s="201">
        <v>0</v>
      </c>
      <c r="C29" s="201">
        <v>1562.5</v>
      </c>
      <c r="D29" s="201">
        <v>1562.5</v>
      </c>
      <c r="E29" s="202">
        <v>375000</v>
      </c>
    </row>
    <row r="30" spans="1:6" s="59" customFormat="1" ht="19" x14ac:dyDescent="0.25">
      <c r="A30" s="203">
        <v>10</v>
      </c>
      <c r="B30" s="204">
        <v>0</v>
      </c>
      <c r="C30" s="204">
        <v>1562.5</v>
      </c>
      <c r="D30" s="204">
        <v>1562.5</v>
      </c>
      <c r="E30" s="205">
        <v>375000</v>
      </c>
    </row>
    <row r="31" spans="1:6" s="59" customFormat="1" ht="19" x14ac:dyDescent="0.25">
      <c r="A31" s="200">
        <v>11</v>
      </c>
      <c r="B31" s="201">
        <v>0</v>
      </c>
      <c r="C31" s="201">
        <v>1562.5</v>
      </c>
      <c r="D31" s="201">
        <v>1562.5</v>
      </c>
      <c r="E31" s="202">
        <v>375000</v>
      </c>
    </row>
    <row r="32" spans="1:6" s="59" customFormat="1" ht="19" x14ac:dyDescent="0.25">
      <c r="A32" s="203">
        <v>12</v>
      </c>
      <c r="B32" s="204">
        <v>0</v>
      </c>
      <c r="C32" s="204">
        <v>1562.5</v>
      </c>
      <c r="D32" s="204">
        <v>1562.5</v>
      </c>
      <c r="E32" s="205">
        <v>375000</v>
      </c>
    </row>
    <row r="33" spans="1:5" s="59" customFormat="1" ht="19" x14ac:dyDescent="0.25">
      <c r="A33" s="200">
        <v>13</v>
      </c>
      <c r="B33" s="201">
        <v>0</v>
      </c>
      <c r="C33" s="201">
        <v>1562.5</v>
      </c>
      <c r="D33" s="201">
        <v>1562.5</v>
      </c>
      <c r="E33" s="202">
        <v>375000</v>
      </c>
    </row>
    <row r="34" spans="1:5" s="59" customFormat="1" ht="19" x14ac:dyDescent="0.25">
      <c r="A34" s="203">
        <v>14</v>
      </c>
      <c r="B34" s="204">
        <v>0</v>
      </c>
      <c r="C34" s="204">
        <v>1562.5</v>
      </c>
      <c r="D34" s="204">
        <v>1562.5</v>
      </c>
      <c r="E34" s="205">
        <v>375000</v>
      </c>
    </row>
    <row r="35" spans="1:5" s="59" customFormat="1" ht="19" x14ac:dyDescent="0.25">
      <c r="A35" s="200">
        <v>15</v>
      </c>
      <c r="B35" s="201">
        <v>0</v>
      </c>
      <c r="C35" s="201">
        <v>1562.5</v>
      </c>
      <c r="D35" s="201">
        <v>1562.5</v>
      </c>
      <c r="E35" s="202">
        <v>375000</v>
      </c>
    </row>
    <row r="36" spans="1:5" s="59" customFormat="1" ht="19" x14ac:dyDescent="0.25">
      <c r="A36" s="203">
        <v>16</v>
      </c>
      <c r="B36" s="204">
        <v>0</v>
      </c>
      <c r="C36" s="204">
        <v>1562.5</v>
      </c>
      <c r="D36" s="204">
        <v>1562.5</v>
      </c>
      <c r="E36" s="205">
        <v>375000</v>
      </c>
    </row>
    <row r="37" spans="1:5" s="59" customFormat="1" ht="19" x14ac:dyDescent="0.25">
      <c r="A37" s="200">
        <v>17</v>
      </c>
      <c r="B37" s="201">
        <v>0</v>
      </c>
      <c r="C37" s="201">
        <v>1562.5</v>
      </c>
      <c r="D37" s="201">
        <v>1562.5</v>
      </c>
      <c r="E37" s="202">
        <v>375000</v>
      </c>
    </row>
    <row r="38" spans="1:5" s="59" customFormat="1" ht="19" x14ac:dyDescent="0.25">
      <c r="A38" s="203">
        <v>18</v>
      </c>
      <c r="B38" s="204">
        <v>0</v>
      </c>
      <c r="C38" s="204">
        <v>1562.5</v>
      </c>
      <c r="D38" s="204">
        <v>1562.5</v>
      </c>
      <c r="E38" s="205">
        <v>375000</v>
      </c>
    </row>
    <row r="39" spans="1:5" s="59" customFormat="1" ht="19" x14ac:dyDescent="0.25">
      <c r="A39" s="200">
        <v>19</v>
      </c>
      <c r="B39" s="201">
        <v>0</v>
      </c>
      <c r="C39" s="201">
        <v>1562.5</v>
      </c>
      <c r="D39" s="201">
        <v>1562.5</v>
      </c>
      <c r="E39" s="202">
        <v>375000</v>
      </c>
    </row>
    <row r="40" spans="1:5" s="59" customFormat="1" ht="19" x14ac:dyDescent="0.25">
      <c r="A40" s="203">
        <v>20</v>
      </c>
      <c r="B40" s="204">
        <v>0</v>
      </c>
      <c r="C40" s="204">
        <v>1562.5</v>
      </c>
      <c r="D40" s="204">
        <v>1562.5</v>
      </c>
      <c r="E40" s="205">
        <v>375000</v>
      </c>
    </row>
    <row r="41" spans="1:5" s="59" customFormat="1" ht="19" x14ac:dyDescent="0.25">
      <c r="A41" s="200">
        <v>21</v>
      </c>
      <c r="B41" s="201">
        <v>0</v>
      </c>
      <c r="C41" s="201">
        <v>1562.5</v>
      </c>
      <c r="D41" s="201">
        <v>1562.5</v>
      </c>
      <c r="E41" s="202">
        <v>375000</v>
      </c>
    </row>
    <row r="42" spans="1:5" s="59" customFormat="1" ht="19" x14ac:dyDescent="0.25">
      <c r="A42" s="203">
        <v>22</v>
      </c>
      <c r="B42" s="204">
        <v>0</v>
      </c>
      <c r="C42" s="204">
        <v>1562.5</v>
      </c>
      <c r="D42" s="204">
        <v>1562.5</v>
      </c>
      <c r="E42" s="205">
        <v>375000</v>
      </c>
    </row>
    <row r="43" spans="1:5" s="59" customFormat="1" ht="19" x14ac:dyDescent="0.25">
      <c r="A43" s="200">
        <v>23</v>
      </c>
      <c r="B43" s="201">
        <v>0</v>
      </c>
      <c r="C43" s="201">
        <v>1562.5</v>
      </c>
      <c r="D43" s="201">
        <v>1562.5</v>
      </c>
      <c r="E43" s="202">
        <v>375000</v>
      </c>
    </row>
    <row r="44" spans="1:5" s="59" customFormat="1" ht="19" x14ac:dyDescent="0.25">
      <c r="A44" s="203">
        <v>24</v>
      </c>
      <c r="B44" s="204">
        <v>0</v>
      </c>
      <c r="C44" s="204">
        <v>1562.5</v>
      </c>
      <c r="D44" s="204">
        <v>1562.5</v>
      </c>
      <c r="E44" s="205">
        <v>375000</v>
      </c>
    </row>
    <row r="45" spans="1:5" s="59" customFormat="1" ht="19" x14ac:dyDescent="0.25">
      <c r="A45" s="200">
        <v>25</v>
      </c>
      <c r="B45" s="201">
        <v>0</v>
      </c>
      <c r="C45" s="201">
        <v>1562.5</v>
      </c>
      <c r="D45" s="201">
        <v>1562.5</v>
      </c>
      <c r="E45" s="202">
        <v>375000</v>
      </c>
    </row>
    <row r="46" spans="1:5" s="59" customFormat="1" ht="19" x14ac:dyDescent="0.25">
      <c r="A46" s="203">
        <v>26</v>
      </c>
      <c r="B46" s="204">
        <v>0</v>
      </c>
      <c r="C46" s="204">
        <v>1562.5</v>
      </c>
      <c r="D46" s="204">
        <v>1562.5</v>
      </c>
      <c r="E46" s="205">
        <v>375000</v>
      </c>
    </row>
    <row r="47" spans="1:5" s="59" customFormat="1" ht="19" x14ac:dyDescent="0.25">
      <c r="A47" s="200">
        <v>27</v>
      </c>
      <c r="B47" s="201">
        <v>11718.75</v>
      </c>
      <c r="C47" s="201">
        <v>1562.5</v>
      </c>
      <c r="D47" s="201">
        <v>13281.25</v>
      </c>
      <c r="E47" s="202">
        <v>363281.25</v>
      </c>
    </row>
    <row r="48" spans="1:5" s="59" customFormat="1" ht="19" x14ac:dyDescent="0.25">
      <c r="A48" s="203">
        <v>28</v>
      </c>
      <c r="B48" s="204">
        <v>0</v>
      </c>
      <c r="C48" s="204">
        <v>1513.67</v>
      </c>
      <c r="D48" s="204">
        <v>1513.67</v>
      </c>
      <c r="E48" s="205">
        <v>363281.25</v>
      </c>
    </row>
    <row r="49" spans="1:5" s="59" customFormat="1" ht="19" x14ac:dyDescent="0.25">
      <c r="A49" s="200">
        <v>29</v>
      </c>
      <c r="B49" s="201">
        <v>0</v>
      </c>
      <c r="C49" s="201">
        <v>1513.67</v>
      </c>
      <c r="D49" s="201">
        <v>1513.67</v>
      </c>
      <c r="E49" s="202">
        <v>363281.25</v>
      </c>
    </row>
    <row r="50" spans="1:5" s="59" customFormat="1" ht="19" x14ac:dyDescent="0.25">
      <c r="A50" s="203">
        <v>30</v>
      </c>
      <c r="B50" s="204">
        <v>11718.75</v>
      </c>
      <c r="C50" s="204">
        <v>1513.67</v>
      </c>
      <c r="D50" s="204">
        <v>13232.42</v>
      </c>
      <c r="E50" s="205">
        <v>351562.5</v>
      </c>
    </row>
    <row r="51" spans="1:5" s="59" customFormat="1" ht="19" x14ac:dyDescent="0.25">
      <c r="A51" s="200">
        <v>31</v>
      </c>
      <c r="B51" s="201">
        <v>0</v>
      </c>
      <c r="C51" s="201">
        <v>1464.84</v>
      </c>
      <c r="D51" s="201">
        <v>1464.84</v>
      </c>
      <c r="E51" s="202">
        <v>351562.5</v>
      </c>
    </row>
    <row r="52" spans="1:5" s="59" customFormat="1" ht="19" x14ac:dyDescent="0.25">
      <c r="A52" s="203">
        <v>32</v>
      </c>
      <c r="B52" s="204">
        <v>0</v>
      </c>
      <c r="C52" s="204">
        <v>1464.84</v>
      </c>
      <c r="D52" s="204">
        <v>1464.84</v>
      </c>
      <c r="E52" s="205">
        <v>351562.5</v>
      </c>
    </row>
    <row r="53" spans="1:5" s="59" customFormat="1" ht="19" x14ac:dyDescent="0.25">
      <c r="A53" s="200">
        <v>33</v>
      </c>
      <c r="B53" s="201">
        <v>11718.75</v>
      </c>
      <c r="C53" s="201">
        <v>1464.84</v>
      </c>
      <c r="D53" s="201">
        <v>13183.59</v>
      </c>
      <c r="E53" s="202">
        <v>339843.75</v>
      </c>
    </row>
    <row r="54" spans="1:5" s="59" customFormat="1" ht="19" x14ac:dyDescent="0.25">
      <c r="A54" s="203">
        <v>34</v>
      </c>
      <c r="B54" s="204">
        <v>0</v>
      </c>
      <c r="C54" s="204">
        <v>1416.02</v>
      </c>
      <c r="D54" s="204">
        <v>1416.02</v>
      </c>
      <c r="E54" s="205">
        <v>339843.75</v>
      </c>
    </row>
    <row r="55" spans="1:5" s="59" customFormat="1" ht="19" x14ac:dyDescent="0.25">
      <c r="A55" s="200">
        <v>35</v>
      </c>
      <c r="B55" s="201">
        <v>0</v>
      </c>
      <c r="C55" s="201">
        <v>1416.02</v>
      </c>
      <c r="D55" s="201">
        <v>1416.02</v>
      </c>
      <c r="E55" s="202">
        <v>339843.75</v>
      </c>
    </row>
    <row r="56" spans="1:5" s="59" customFormat="1" ht="19" x14ac:dyDescent="0.25">
      <c r="A56" s="203">
        <v>36</v>
      </c>
      <c r="B56" s="204">
        <v>11718.75</v>
      </c>
      <c r="C56" s="204">
        <v>1416.02</v>
      </c>
      <c r="D56" s="204">
        <v>13134.77</v>
      </c>
      <c r="E56" s="205">
        <v>328125</v>
      </c>
    </row>
    <row r="57" spans="1:5" s="59" customFormat="1" ht="19" x14ac:dyDescent="0.25">
      <c r="A57" s="200">
        <v>37</v>
      </c>
      <c r="B57" s="201">
        <v>0</v>
      </c>
      <c r="C57" s="201">
        <v>1367.19</v>
      </c>
      <c r="D57" s="201">
        <v>1367.19</v>
      </c>
      <c r="E57" s="202">
        <v>328125</v>
      </c>
    </row>
    <row r="58" spans="1:5" s="59" customFormat="1" ht="19" x14ac:dyDescent="0.25">
      <c r="A58" s="203">
        <v>38</v>
      </c>
      <c r="B58" s="204">
        <v>0</v>
      </c>
      <c r="C58" s="204">
        <v>1367.19</v>
      </c>
      <c r="D58" s="204">
        <v>1367.19</v>
      </c>
      <c r="E58" s="205">
        <v>328125</v>
      </c>
    </row>
    <row r="59" spans="1:5" s="59" customFormat="1" ht="19" x14ac:dyDescent="0.25">
      <c r="A59" s="200">
        <v>39</v>
      </c>
      <c r="B59" s="201">
        <v>11718.75</v>
      </c>
      <c r="C59" s="201">
        <v>1367.19</v>
      </c>
      <c r="D59" s="201">
        <v>13085.94</v>
      </c>
      <c r="E59" s="202">
        <v>316406.25</v>
      </c>
    </row>
    <row r="60" spans="1:5" s="59" customFormat="1" ht="19" x14ac:dyDescent="0.25">
      <c r="A60" s="203">
        <v>40</v>
      </c>
      <c r="B60" s="204">
        <v>0</v>
      </c>
      <c r="C60" s="204">
        <v>1318.36</v>
      </c>
      <c r="D60" s="204">
        <v>1318.36</v>
      </c>
      <c r="E60" s="205">
        <v>316406.25</v>
      </c>
    </row>
    <row r="61" spans="1:5" s="59" customFormat="1" ht="19" x14ac:dyDescent="0.25">
      <c r="A61" s="200">
        <v>41</v>
      </c>
      <c r="B61" s="201">
        <v>0</v>
      </c>
      <c r="C61" s="201">
        <v>1318.36</v>
      </c>
      <c r="D61" s="201">
        <v>1318.36</v>
      </c>
      <c r="E61" s="202">
        <v>316406.25</v>
      </c>
    </row>
    <row r="62" spans="1:5" s="59" customFormat="1" ht="19" x14ac:dyDescent="0.25">
      <c r="A62" s="203">
        <v>42</v>
      </c>
      <c r="B62" s="204">
        <v>11718.75</v>
      </c>
      <c r="C62" s="204">
        <v>1318.36</v>
      </c>
      <c r="D62" s="204">
        <v>13037.11</v>
      </c>
      <c r="E62" s="205">
        <v>304687.5</v>
      </c>
    </row>
    <row r="63" spans="1:5" s="59" customFormat="1" ht="19" x14ac:dyDescent="0.25">
      <c r="A63" s="200">
        <v>43</v>
      </c>
      <c r="B63" s="201">
        <v>0</v>
      </c>
      <c r="C63" s="201">
        <v>1269.53</v>
      </c>
      <c r="D63" s="201">
        <v>1269.53</v>
      </c>
      <c r="E63" s="202">
        <v>304687.5</v>
      </c>
    </row>
    <row r="64" spans="1:5" s="59" customFormat="1" ht="19" x14ac:dyDescent="0.25">
      <c r="A64" s="203">
        <v>44</v>
      </c>
      <c r="B64" s="204">
        <v>0</v>
      </c>
      <c r="C64" s="204">
        <v>1269.53</v>
      </c>
      <c r="D64" s="204">
        <v>1269.53</v>
      </c>
      <c r="E64" s="205">
        <v>304687.5</v>
      </c>
    </row>
    <row r="65" spans="1:5" s="59" customFormat="1" ht="19" x14ac:dyDescent="0.25">
      <c r="A65" s="200">
        <v>45</v>
      </c>
      <c r="B65" s="201">
        <v>11718.75</v>
      </c>
      <c r="C65" s="201">
        <v>1269.53</v>
      </c>
      <c r="D65" s="201">
        <v>12988.28</v>
      </c>
      <c r="E65" s="202">
        <v>292968.75</v>
      </c>
    </row>
    <row r="66" spans="1:5" s="59" customFormat="1" ht="19" x14ac:dyDescent="0.25">
      <c r="A66" s="203">
        <v>46</v>
      </c>
      <c r="B66" s="204">
        <v>0</v>
      </c>
      <c r="C66" s="204">
        <v>1220.7</v>
      </c>
      <c r="D66" s="204">
        <v>1220.7</v>
      </c>
      <c r="E66" s="205">
        <v>292968.75</v>
      </c>
    </row>
    <row r="67" spans="1:5" s="59" customFormat="1" ht="19" x14ac:dyDescent="0.25">
      <c r="A67" s="200">
        <v>47</v>
      </c>
      <c r="B67" s="201">
        <v>0</v>
      </c>
      <c r="C67" s="201">
        <v>1220.7</v>
      </c>
      <c r="D67" s="201">
        <v>1220.7</v>
      </c>
      <c r="E67" s="202">
        <v>292968.75</v>
      </c>
    </row>
    <row r="68" spans="1:5" s="59" customFormat="1" ht="19" x14ac:dyDescent="0.25">
      <c r="A68" s="203">
        <v>48</v>
      </c>
      <c r="B68" s="204">
        <v>11718.75</v>
      </c>
      <c r="C68" s="204">
        <v>1220.7</v>
      </c>
      <c r="D68" s="204">
        <v>12939.45</v>
      </c>
      <c r="E68" s="205">
        <v>281250</v>
      </c>
    </row>
    <row r="69" spans="1:5" s="59" customFormat="1" ht="19" x14ac:dyDescent="0.25">
      <c r="A69" s="200">
        <v>49</v>
      </c>
      <c r="B69" s="201">
        <v>0</v>
      </c>
      <c r="C69" s="201">
        <v>1171.8800000000001</v>
      </c>
      <c r="D69" s="201">
        <v>1171.8800000000001</v>
      </c>
      <c r="E69" s="202">
        <v>281250</v>
      </c>
    </row>
    <row r="70" spans="1:5" s="59" customFormat="1" ht="19" x14ac:dyDescent="0.25">
      <c r="A70" s="203">
        <v>50</v>
      </c>
      <c r="B70" s="204">
        <v>0</v>
      </c>
      <c r="C70" s="204">
        <v>1171.8800000000001</v>
      </c>
      <c r="D70" s="204">
        <v>1171.8800000000001</v>
      </c>
      <c r="E70" s="205">
        <v>281250</v>
      </c>
    </row>
    <row r="71" spans="1:5" s="59" customFormat="1" ht="19" x14ac:dyDescent="0.25">
      <c r="A71" s="200">
        <v>51</v>
      </c>
      <c r="B71" s="201">
        <v>11718.75</v>
      </c>
      <c r="C71" s="201">
        <v>1171.8800000000001</v>
      </c>
      <c r="D71" s="201">
        <v>12890.63</v>
      </c>
      <c r="E71" s="202">
        <v>269531.25</v>
      </c>
    </row>
    <row r="72" spans="1:5" s="59" customFormat="1" ht="19" x14ac:dyDescent="0.25">
      <c r="A72" s="203">
        <v>52</v>
      </c>
      <c r="B72" s="204">
        <v>0</v>
      </c>
      <c r="C72" s="204">
        <v>1123.05</v>
      </c>
      <c r="D72" s="204">
        <v>1123.05</v>
      </c>
      <c r="E72" s="205">
        <v>269531.25</v>
      </c>
    </row>
    <row r="73" spans="1:5" s="59" customFormat="1" ht="19" x14ac:dyDescent="0.25">
      <c r="A73" s="200">
        <v>53</v>
      </c>
      <c r="B73" s="201">
        <v>0</v>
      </c>
      <c r="C73" s="201">
        <v>1123.05</v>
      </c>
      <c r="D73" s="201">
        <v>1123.05</v>
      </c>
      <c r="E73" s="202">
        <v>269531.25</v>
      </c>
    </row>
    <row r="74" spans="1:5" s="59" customFormat="1" ht="19" x14ac:dyDescent="0.25">
      <c r="A74" s="203">
        <v>54</v>
      </c>
      <c r="B74" s="204">
        <v>11718.75</v>
      </c>
      <c r="C74" s="204">
        <v>1123.05</v>
      </c>
      <c r="D74" s="204">
        <v>12841.8</v>
      </c>
      <c r="E74" s="205">
        <v>257812.5</v>
      </c>
    </row>
    <row r="75" spans="1:5" s="59" customFormat="1" ht="19" x14ac:dyDescent="0.25">
      <c r="A75" s="200">
        <v>55</v>
      </c>
      <c r="B75" s="201">
        <v>0</v>
      </c>
      <c r="C75" s="201">
        <v>1074.22</v>
      </c>
      <c r="D75" s="201">
        <v>1074.22</v>
      </c>
      <c r="E75" s="202">
        <v>257812.5</v>
      </c>
    </row>
    <row r="76" spans="1:5" s="59" customFormat="1" ht="19" x14ac:dyDescent="0.25">
      <c r="A76" s="203">
        <v>56</v>
      </c>
      <c r="B76" s="204">
        <v>0</v>
      </c>
      <c r="C76" s="204">
        <v>1074.22</v>
      </c>
      <c r="D76" s="204">
        <v>1074.22</v>
      </c>
      <c r="E76" s="205">
        <v>257812.5</v>
      </c>
    </row>
    <row r="77" spans="1:5" s="59" customFormat="1" ht="19" x14ac:dyDescent="0.25">
      <c r="A77" s="200">
        <v>57</v>
      </c>
      <c r="B77" s="201">
        <v>11718.75</v>
      </c>
      <c r="C77" s="201">
        <v>1074.22</v>
      </c>
      <c r="D77" s="201">
        <v>12792.97</v>
      </c>
      <c r="E77" s="202">
        <v>246093.75</v>
      </c>
    </row>
    <row r="78" spans="1:5" s="59" customFormat="1" ht="19" x14ac:dyDescent="0.25">
      <c r="A78" s="203">
        <v>58</v>
      </c>
      <c r="B78" s="204">
        <v>0</v>
      </c>
      <c r="C78" s="204">
        <v>1025.3900000000001</v>
      </c>
      <c r="D78" s="204">
        <v>1025.3900000000001</v>
      </c>
      <c r="E78" s="205">
        <v>246093.75</v>
      </c>
    </row>
    <row r="79" spans="1:5" s="59" customFormat="1" ht="19" x14ac:dyDescent="0.25">
      <c r="A79" s="200">
        <v>59</v>
      </c>
      <c r="B79" s="201">
        <v>0</v>
      </c>
      <c r="C79" s="201">
        <v>1025.3900000000001</v>
      </c>
      <c r="D79" s="201">
        <v>1025.3900000000001</v>
      </c>
      <c r="E79" s="202">
        <v>246093.75</v>
      </c>
    </row>
    <row r="80" spans="1:5" s="59" customFormat="1" ht="19" x14ac:dyDescent="0.25">
      <c r="A80" s="203">
        <v>60</v>
      </c>
      <c r="B80" s="204">
        <v>11718.75</v>
      </c>
      <c r="C80" s="204">
        <v>1025.3900000000001</v>
      </c>
      <c r="D80" s="204">
        <v>12744.14</v>
      </c>
      <c r="E80" s="205">
        <v>234375</v>
      </c>
    </row>
    <row r="81" spans="1:5" s="59" customFormat="1" ht="19" x14ac:dyDescent="0.25">
      <c r="A81" s="200">
        <v>61</v>
      </c>
      <c r="B81" s="201">
        <v>0</v>
      </c>
      <c r="C81" s="201">
        <v>976.56</v>
      </c>
      <c r="D81" s="201">
        <v>976.56</v>
      </c>
      <c r="E81" s="202">
        <v>234375</v>
      </c>
    </row>
    <row r="82" spans="1:5" s="59" customFormat="1" ht="19" x14ac:dyDescent="0.25">
      <c r="A82" s="203">
        <v>62</v>
      </c>
      <c r="B82" s="204">
        <v>0</v>
      </c>
      <c r="C82" s="204">
        <v>976.56</v>
      </c>
      <c r="D82" s="204">
        <v>976.56</v>
      </c>
      <c r="E82" s="205">
        <v>234375</v>
      </c>
    </row>
    <row r="83" spans="1:5" s="59" customFormat="1" ht="19" x14ac:dyDescent="0.25">
      <c r="A83" s="200">
        <v>63</v>
      </c>
      <c r="B83" s="201">
        <v>11718.75</v>
      </c>
      <c r="C83" s="201">
        <v>976.56</v>
      </c>
      <c r="D83" s="201">
        <v>12695.31</v>
      </c>
      <c r="E83" s="202">
        <v>222656.25</v>
      </c>
    </row>
    <row r="84" spans="1:5" s="59" customFormat="1" ht="19" x14ac:dyDescent="0.25">
      <c r="A84" s="203">
        <v>64</v>
      </c>
      <c r="B84" s="204">
        <v>0</v>
      </c>
      <c r="C84" s="204">
        <v>927.73</v>
      </c>
      <c r="D84" s="204">
        <v>927.73</v>
      </c>
      <c r="E84" s="205">
        <v>222656.25</v>
      </c>
    </row>
    <row r="85" spans="1:5" s="59" customFormat="1" ht="19" x14ac:dyDescent="0.25">
      <c r="A85" s="200">
        <v>65</v>
      </c>
      <c r="B85" s="201">
        <v>0</v>
      </c>
      <c r="C85" s="201">
        <v>927.73</v>
      </c>
      <c r="D85" s="201">
        <v>927.73</v>
      </c>
      <c r="E85" s="202">
        <v>222656.25</v>
      </c>
    </row>
    <row r="86" spans="1:5" s="59" customFormat="1" ht="19" x14ac:dyDescent="0.25">
      <c r="A86" s="203">
        <v>66</v>
      </c>
      <c r="B86" s="204">
        <v>11718.75</v>
      </c>
      <c r="C86" s="204">
        <v>927.73</v>
      </c>
      <c r="D86" s="204">
        <v>12646.48</v>
      </c>
      <c r="E86" s="205">
        <v>210937.5</v>
      </c>
    </row>
    <row r="87" spans="1:5" s="59" customFormat="1" ht="19" x14ac:dyDescent="0.25">
      <c r="A87" s="200">
        <v>67</v>
      </c>
      <c r="B87" s="201">
        <v>0</v>
      </c>
      <c r="C87" s="201">
        <v>878.91</v>
      </c>
      <c r="D87" s="201">
        <v>878.91</v>
      </c>
      <c r="E87" s="202">
        <v>210937.5</v>
      </c>
    </row>
    <row r="88" spans="1:5" s="59" customFormat="1" ht="19" x14ac:dyDescent="0.25">
      <c r="A88" s="203">
        <v>68</v>
      </c>
      <c r="B88" s="204">
        <v>0</v>
      </c>
      <c r="C88" s="204">
        <v>878.91</v>
      </c>
      <c r="D88" s="204">
        <v>878.91</v>
      </c>
      <c r="E88" s="205">
        <v>210937.5</v>
      </c>
    </row>
    <row r="89" spans="1:5" s="59" customFormat="1" ht="19" x14ac:dyDescent="0.25">
      <c r="A89" s="200">
        <v>69</v>
      </c>
      <c r="B89" s="201">
        <v>11718.75</v>
      </c>
      <c r="C89" s="201">
        <v>878.91</v>
      </c>
      <c r="D89" s="201">
        <v>12597.66</v>
      </c>
      <c r="E89" s="202">
        <v>199218.75</v>
      </c>
    </row>
    <row r="90" spans="1:5" s="59" customFormat="1" ht="19" x14ac:dyDescent="0.25">
      <c r="A90" s="203">
        <v>70</v>
      </c>
      <c r="B90" s="204">
        <v>0</v>
      </c>
      <c r="C90" s="204">
        <v>830.08</v>
      </c>
      <c r="D90" s="204">
        <v>830.08</v>
      </c>
      <c r="E90" s="205">
        <v>199218.75</v>
      </c>
    </row>
    <row r="91" spans="1:5" s="59" customFormat="1" ht="19" x14ac:dyDescent="0.25">
      <c r="A91" s="200">
        <v>71</v>
      </c>
      <c r="B91" s="201">
        <v>0</v>
      </c>
      <c r="C91" s="201">
        <v>830.08</v>
      </c>
      <c r="D91" s="201">
        <v>830.08</v>
      </c>
      <c r="E91" s="202">
        <v>199218.75</v>
      </c>
    </row>
    <row r="92" spans="1:5" s="59" customFormat="1" ht="19" x14ac:dyDescent="0.25">
      <c r="A92" s="203">
        <v>72</v>
      </c>
      <c r="B92" s="204">
        <v>11718.75</v>
      </c>
      <c r="C92" s="204">
        <v>830.08</v>
      </c>
      <c r="D92" s="204">
        <v>12548.83</v>
      </c>
      <c r="E92" s="205">
        <v>187500</v>
      </c>
    </row>
    <row r="93" spans="1:5" s="59" customFormat="1" ht="19" x14ac:dyDescent="0.25">
      <c r="A93" s="200">
        <v>73</v>
      </c>
      <c r="B93" s="201">
        <v>0</v>
      </c>
      <c r="C93" s="201">
        <v>781.25</v>
      </c>
      <c r="D93" s="201">
        <v>781.25</v>
      </c>
      <c r="E93" s="202">
        <v>187500</v>
      </c>
    </row>
    <row r="94" spans="1:5" s="59" customFormat="1" ht="19" x14ac:dyDescent="0.25">
      <c r="A94" s="203">
        <v>74</v>
      </c>
      <c r="B94" s="204">
        <v>0</v>
      </c>
      <c r="C94" s="204">
        <v>781.25</v>
      </c>
      <c r="D94" s="204">
        <v>781.25</v>
      </c>
      <c r="E94" s="205">
        <v>187500</v>
      </c>
    </row>
    <row r="95" spans="1:5" s="59" customFormat="1" ht="19" x14ac:dyDescent="0.25">
      <c r="A95" s="200">
        <v>75</v>
      </c>
      <c r="B95" s="201">
        <v>11718.75</v>
      </c>
      <c r="C95" s="201">
        <v>781.25</v>
      </c>
      <c r="D95" s="201">
        <v>12500</v>
      </c>
      <c r="E95" s="202">
        <v>175781.25</v>
      </c>
    </row>
    <row r="96" spans="1:5" s="59" customFormat="1" ht="19" x14ac:dyDescent="0.25">
      <c r="A96" s="203">
        <v>76</v>
      </c>
      <c r="B96" s="204">
        <v>0</v>
      </c>
      <c r="C96" s="204">
        <v>732.42</v>
      </c>
      <c r="D96" s="204">
        <v>732.42</v>
      </c>
      <c r="E96" s="205">
        <v>175781.25</v>
      </c>
    </row>
    <row r="97" spans="1:5" s="59" customFormat="1" ht="19" x14ac:dyDescent="0.25">
      <c r="A97" s="200">
        <v>77</v>
      </c>
      <c r="B97" s="201">
        <v>0</v>
      </c>
      <c r="C97" s="201">
        <v>732.42</v>
      </c>
      <c r="D97" s="201">
        <v>732.42</v>
      </c>
      <c r="E97" s="202">
        <v>175781.25</v>
      </c>
    </row>
    <row r="98" spans="1:5" s="59" customFormat="1" ht="19" x14ac:dyDescent="0.25">
      <c r="A98" s="203">
        <v>78</v>
      </c>
      <c r="B98" s="204">
        <v>11718.75</v>
      </c>
      <c r="C98" s="204">
        <v>732.42</v>
      </c>
      <c r="D98" s="204">
        <v>12451.17</v>
      </c>
      <c r="E98" s="205">
        <v>164062.5</v>
      </c>
    </row>
    <row r="99" spans="1:5" s="59" customFormat="1" ht="19" x14ac:dyDescent="0.25">
      <c r="A99" s="200">
        <v>79</v>
      </c>
      <c r="B99" s="201">
        <v>0</v>
      </c>
      <c r="C99" s="201">
        <v>683.59</v>
      </c>
      <c r="D99" s="201">
        <v>683.59</v>
      </c>
      <c r="E99" s="202">
        <v>164062.5</v>
      </c>
    </row>
    <row r="100" spans="1:5" s="59" customFormat="1" ht="19" x14ac:dyDescent="0.25">
      <c r="A100" s="203">
        <v>80</v>
      </c>
      <c r="B100" s="204">
        <v>0</v>
      </c>
      <c r="C100" s="204">
        <v>683.59</v>
      </c>
      <c r="D100" s="204">
        <v>683.59</v>
      </c>
      <c r="E100" s="205">
        <v>164062.5</v>
      </c>
    </row>
    <row r="101" spans="1:5" s="59" customFormat="1" ht="19" x14ac:dyDescent="0.25">
      <c r="A101" s="200">
        <v>81</v>
      </c>
      <c r="B101" s="201">
        <v>11718.75</v>
      </c>
      <c r="C101" s="201">
        <v>683.59</v>
      </c>
      <c r="D101" s="201">
        <v>12402.34</v>
      </c>
      <c r="E101" s="202">
        <v>152343.75</v>
      </c>
    </row>
    <row r="102" spans="1:5" s="59" customFormat="1" ht="19" x14ac:dyDescent="0.25">
      <c r="A102" s="203">
        <v>82</v>
      </c>
      <c r="B102" s="204">
        <v>0</v>
      </c>
      <c r="C102" s="204">
        <v>634.77</v>
      </c>
      <c r="D102" s="204">
        <v>634.77</v>
      </c>
      <c r="E102" s="205">
        <v>152343.75</v>
      </c>
    </row>
    <row r="103" spans="1:5" s="59" customFormat="1" ht="19" x14ac:dyDescent="0.25">
      <c r="A103" s="200">
        <v>83</v>
      </c>
      <c r="B103" s="201">
        <v>0</v>
      </c>
      <c r="C103" s="201">
        <v>634.77</v>
      </c>
      <c r="D103" s="201">
        <v>634.77</v>
      </c>
      <c r="E103" s="202">
        <v>152343.75</v>
      </c>
    </row>
    <row r="104" spans="1:5" s="59" customFormat="1" ht="19" x14ac:dyDescent="0.25">
      <c r="A104" s="203">
        <v>84</v>
      </c>
      <c r="B104" s="204">
        <v>11718.75</v>
      </c>
      <c r="C104" s="204">
        <v>634.77</v>
      </c>
      <c r="D104" s="204">
        <v>12353.52</v>
      </c>
      <c r="E104" s="205">
        <v>140625</v>
      </c>
    </row>
    <row r="105" spans="1:5" s="59" customFormat="1" ht="19" x14ac:dyDescent="0.25">
      <c r="A105" s="200">
        <v>85</v>
      </c>
      <c r="B105" s="201">
        <v>0</v>
      </c>
      <c r="C105" s="201">
        <v>585.94000000000005</v>
      </c>
      <c r="D105" s="201">
        <v>585.94000000000005</v>
      </c>
      <c r="E105" s="202">
        <v>140625</v>
      </c>
    </row>
    <row r="106" spans="1:5" s="59" customFormat="1" ht="19" x14ac:dyDescent="0.25">
      <c r="A106" s="203">
        <v>86</v>
      </c>
      <c r="B106" s="204">
        <v>0</v>
      </c>
      <c r="C106" s="204">
        <v>585.94000000000005</v>
      </c>
      <c r="D106" s="204">
        <v>585.94000000000005</v>
      </c>
      <c r="E106" s="205">
        <v>140625</v>
      </c>
    </row>
    <row r="107" spans="1:5" s="59" customFormat="1" ht="19" x14ac:dyDescent="0.25">
      <c r="A107" s="200">
        <v>87</v>
      </c>
      <c r="B107" s="201">
        <v>11718.75</v>
      </c>
      <c r="C107" s="201">
        <v>585.94000000000005</v>
      </c>
      <c r="D107" s="201">
        <v>12304.69</v>
      </c>
      <c r="E107" s="202">
        <v>128906.25</v>
      </c>
    </row>
    <row r="108" spans="1:5" s="59" customFormat="1" ht="19" x14ac:dyDescent="0.25">
      <c r="A108" s="203">
        <v>88</v>
      </c>
      <c r="B108" s="204">
        <v>0</v>
      </c>
      <c r="C108" s="204">
        <v>537.11</v>
      </c>
      <c r="D108" s="204">
        <v>537.11</v>
      </c>
      <c r="E108" s="205">
        <v>128906.25</v>
      </c>
    </row>
    <row r="109" spans="1:5" s="59" customFormat="1" ht="19" x14ac:dyDescent="0.25">
      <c r="A109" s="200">
        <v>89</v>
      </c>
      <c r="B109" s="201">
        <v>0</v>
      </c>
      <c r="C109" s="201">
        <v>537.11</v>
      </c>
      <c r="D109" s="201">
        <v>537.11</v>
      </c>
      <c r="E109" s="202">
        <v>128906.25</v>
      </c>
    </row>
    <row r="110" spans="1:5" s="59" customFormat="1" ht="19" x14ac:dyDescent="0.25">
      <c r="A110" s="203">
        <v>90</v>
      </c>
      <c r="B110" s="204">
        <v>11718.75</v>
      </c>
      <c r="C110" s="204">
        <v>537.11</v>
      </c>
      <c r="D110" s="204">
        <v>12255.86</v>
      </c>
      <c r="E110" s="205">
        <v>117187.5</v>
      </c>
    </row>
    <row r="111" spans="1:5" s="59" customFormat="1" ht="19" x14ac:dyDescent="0.25">
      <c r="A111" s="200">
        <v>91</v>
      </c>
      <c r="B111" s="201">
        <v>0</v>
      </c>
      <c r="C111" s="201">
        <v>488.28</v>
      </c>
      <c r="D111" s="201">
        <v>488.28</v>
      </c>
      <c r="E111" s="202">
        <v>117187.5</v>
      </c>
    </row>
    <row r="112" spans="1:5" s="59" customFormat="1" ht="19" x14ac:dyDescent="0.25">
      <c r="A112" s="203">
        <v>92</v>
      </c>
      <c r="B112" s="204">
        <v>0</v>
      </c>
      <c r="C112" s="204">
        <v>488.28</v>
      </c>
      <c r="D112" s="204">
        <v>488.28</v>
      </c>
      <c r="E112" s="205">
        <v>117187.5</v>
      </c>
    </row>
    <row r="113" spans="1:5" s="59" customFormat="1" ht="19" x14ac:dyDescent="0.25">
      <c r="A113" s="200">
        <v>93</v>
      </c>
      <c r="B113" s="201">
        <v>11718.75</v>
      </c>
      <c r="C113" s="201">
        <v>488.28</v>
      </c>
      <c r="D113" s="201">
        <v>12207.03</v>
      </c>
      <c r="E113" s="202">
        <v>105468.75</v>
      </c>
    </row>
    <row r="114" spans="1:5" s="59" customFormat="1" ht="19" x14ac:dyDescent="0.25">
      <c r="A114" s="203">
        <v>94</v>
      </c>
      <c r="B114" s="204">
        <v>0</v>
      </c>
      <c r="C114" s="204">
        <v>439.45</v>
      </c>
      <c r="D114" s="204">
        <v>439.45</v>
      </c>
      <c r="E114" s="205">
        <v>105468.75</v>
      </c>
    </row>
    <row r="115" spans="1:5" s="59" customFormat="1" ht="19" x14ac:dyDescent="0.25">
      <c r="A115" s="200">
        <v>95</v>
      </c>
      <c r="B115" s="201">
        <v>0</v>
      </c>
      <c r="C115" s="201">
        <v>439.45</v>
      </c>
      <c r="D115" s="201">
        <v>439.45</v>
      </c>
      <c r="E115" s="202">
        <v>105468.75</v>
      </c>
    </row>
    <row r="116" spans="1:5" s="59" customFormat="1" ht="19" x14ac:dyDescent="0.25">
      <c r="A116" s="203">
        <v>96</v>
      </c>
      <c r="B116" s="204">
        <v>11718.75</v>
      </c>
      <c r="C116" s="204">
        <v>439.45</v>
      </c>
      <c r="D116" s="204">
        <v>12158.2</v>
      </c>
      <c r="E116" s="205">
        <v>93750</v>
      </c>
    </row>
    <row r="117" spans="1:5" s="59" customFormat="1" ht="19" x14ac:dyDescent="0.25">
      <c r="A117" s="200">
        <v>97</v>
      </c>
      <c r="B117" s="201">
        <v>0</v>
      </c>
      <c r="C117" s="201">
        <v>390.63</v>
      </c>
      <c r="D117" s="201">
        <v>390.63</v>
      </c>
      <c r="E117" s="202">
        <v>93750</v>
      </c>
    </row>
    <row r="118" spans="1:5" s="59" customFormat="1" ht="19" x14ac:dyDescent="0.25">
      <c r="A118" s="203">
        <v>98</v>
      </c>
      <c r="B118" s="204">
        <v>0</v>
      </c>
      <c r="C118" s="204">
        <v>390.63</v>
      </c>
      <c r="D118" s="204">
        <v>390.63</v>
      </c>
      <c r="E118" s="205">
        <v>93750</v>
      </c>
    </row>
    <row r="119" spans="1:5" s="59" customFormat="1" ht="19" x14ac:dyDescent="0.25">
      <c r="A119" s="200">
        <v>99</v>
      </c>
      <c r="B119" s="201">
        <v>11718.75</v>
      </c>
      <c r="C119" s="201">
        <v>390.63</v>
      </c>
      <c r="D119" s="201">
        <v>12109.38</v>
      </c>
      <c r="E119" s="202">
        <v>82031.25</v>
      </c>
    </row>
    <row r="120" spans="1:5" s="59" customFormat="1" ht="19" x14ac:dyDescent="0.25">
      <c r="A120" s="203">
        <v>100</v>
      </c>
      <c r="B120" s="204">
        <v>0</v>
      </c>
      <c r="C120" s="204">
        <v>341.8</v>
      </c>
      <c r="D120" s="204">
        <v>341.8</v>
      </c>
      <c r="E120" s="205">
        <v>82031.25</v>
      </c>
    </row>
    <row r="121" spans="1:5" s="59" customFormat="1" ht="19" x14ac:dyDescent="0.25">
      <c r="A121" s="200">
        <v>101</v>
      </c>
      <c r="B121" s="201">
        <v>0</v>
      </c>
      <c r="C121" s="201">
        <v>341.8</v>
      </c>
      <c r="D121" s="201">
        <v>341.8</v>
      </c>
      <c r="E121" s="202">
        <v>82031.25</v>
      </c>
    </row>
    <row r="122" spans="1:5" s="59" customFormat="1" ht="19" x14ac:dyDescent="0.25">
      <c r="A122" s="203">
        <v>102</v>
      </c>
      <c r="B122" s="204">
        <v>11718.75</v>
      </c>
      <c r="C122" s="204">
        <v>341.8</v>
      </c>
      <c r="D122" s="204">
        <v>12060.55</v>
      </c>
      <c r="E122" s="205">
        <v>70312.5</v>
      </c>
    </row>
    <row r="123" spans="1:5" s="59" customFormat="1" ht="19" x14ac:dyDescent="0.25">
      <c r="A123" s="200">
        <v>103</v>
      </c>
      <c r="B123" s="201">
        <v>0</v>
      </c>
      <c r="C123" s="201">
        <v>292.97000000000003</v>
      </c>
      <c r="D123" s="201">
        <v>292.97000000000003</v>
      </c>
      <c r="E123" s="202">
        <v>70312.5</v>
      </c>
    </row>
    <row r="124" spans="1:5" s="59" customFormat="1" ht="19" x14ac:dyDescent="0.25">
      <c r="A124" s="203">
        <v>104</v>
      </c>
      <c r="B124" s="204">
        <v>0</v>
      </c>
      <c r="C124" s="204">
        <v>292.97000000000003</v>
      </c>
      <c r="D124" s="204">
        <v>292.97000000000003</v>
      </c>
      <c r="E124" s="205">
        <v>70312.5</v>
      </c>
    </row>
    <row r="125" spans="1:5" s="59" customFormat="1" ht="19" x14ac:dyDescent="0.25">
      <c r="A125" s="200">
        <v>105</v>
      </c>
      <c r="B125" s="201">
        <v>11718.75</v>
      </c>
      <c r="C125" s="201">
        <v>292.97000000000003</v>
      </c>
      <c r="D125" s="201">
        <v>12011.72</v>
      </c>
      <c r="E125" s="202">
        <v>58593.75</v>
      </c>
    </row>
    <row r="126" spans="1:5" s="59" customFormat="1" ht="19" x14ac:dyDescent="0.25">
      <c r="A126" s="203">
        <v>106</v>
      </c>
      <c r="B126" s="204">
        <v>0</v>
      </c>
      <c r="C126" s="204">
        <v>244.14</v>
      </c>
      <c r="D126" s="204">
        <v>244.14</v>
      </c>
      <c r="E126" s="205">
        <v>58593.75</v>
      </c>
    </row>
    <row r="127" spans="1:5" s="59" customFormat="1" ht="19" x14ac:dyDescent="0.25">
      <c r="A127" s="200">
        <v>107</v>
      </c>
      <c r="B127" s="201">
        <v>0</v>
      </c>
      <c r="C127" s="201">
        <v>244.14</v>
      </c>
      <c r="D127" s="201">
        <v>244.14</v>
      </c>
      <c r="E127" s="202">
        <v>58593.75</v>
      </c>
    </row>
    <row r="128" spans="1:5" s="59" customFormat="1" ht="19" x14ac:dyDescent="0.25">
      <c r="A128" s="203">
        <v>108</v>
      </c>
      <c r="B128" s="204">
        <v>11718.75</v>
      </c>
      <c r="C128" s="204">
        <v>244.14</v>
      </c>
      <c r="D128" s="204">
        <v>11962.89</v>
      </c>
      <c r="E128" s="205">
        <v>46875</v>
      </c>
    </row>
    <row r="129" spans="1:5" s="59" customFormat="1" ht="19" x14ac:dyDescent="0.25">
      <c r="A129" s="200">
        <v>109</v>
      </c>
      <c r="B129" s="201">
        <v>0</v>
      </c>
      <c r="C129" s="201">
        <v>195.31</v>
      </c>
      <c r="D129" s="201">
        <v>195.31</v>
      </c>
      <c r="E129" s="202">
        <v>46875</v>
      </c>
    </row>
    <row r="130" spans="1:5" s="59" customFormat="1" ht="19" x14ac:dyDescent="0.25">
      <c r="A130" s="203">
        <v>110</v>
      </c>
      <c r="B130" s="204">
        <v>0</v>
      </c>
      <c r="C130" s="204">
        <v>195.31</v>
      </c>
      <c r="D130" s="204">
        <v>195.31</v>
      </c>
      <c r="E130" s="205">
        <v>46875</v>
      </c>
    </row>
    <row r="131" spans="1:5" s="59" customFormat="1" ht="19" x14ac:dyDescent="0.25">
      <c r="A131" s="200">
        <v>111</v>
      </c>
      <c r="B131" s="201">
        <v>11718.75</v>
      </c>
      <c r="C131" s="201">
        <v>195.31</v>
      </c>
      <c r="D131" s="201">
        <v>11914.06</v>
      </c>
      <c r="E131" s="202">
        <v>35156.25</v>
      </c>
    </row>
    <row r="132" spans="1:5" s="59" customFormat="1" ht="19" x14ac:dyDescent="0.25">
      <c r="A132" s="203">
        <v>112</v>
      </c>
      <c r="B132" s="204">
        <v>0</v>
      </c>
      <c r="C132" s="204">
        <v>146.47999999999999</v>
      </c>
      <c r="D132" s="204">
        <v>146.47999999999999</v>
      </c>
      <c r="E132" s="205">
        <v>35156.25</v>
      </c>
    </row>
    <row r="133" spans="1:5" s="59" customFormat="1" ht="19" x14ac:dyDescent="0.25">
      <c r="A133" s="200">
        <v>113</v>
      </c>
      <c r="B133" s="201">
        <v>0</v>
      </c>
      <c r="C133" s="201">
        <v>146.47999999999999</v>
      </c>
      <c r="D133" s="201">
        <v>146.47999999999999</v>
      </c>
      <c r="E133" s="202">
        <v>35156.25</v>
      </c>
    </row>
    <row r="134" spans="1:5" s="59" customFormat="1" ht="19" x14ac:dyDescent="0.25">
      <c r="A134" s="203">
        <v>114</v>
      </c>
      <c r="B134" s="204">
        <v>11718.75</v>
      </c>
      <c r="C134" s="204">
        <v>146.47999999999999</v>
      </c>
      <c r="D134" s="204">
        <v>11865.23</v>
      </c>
      <c r="E134" s="205">
        <v>23437.5</v>
      </c>
    </row>
    <row r="135" spans="1:5" s="59" customFormat="1" ht="19" x14ac:dyDescent="0.25">
      <c r="A135" s="200">
        <v>115</v>
      </c>
      <c r="B135" s="201">
        <v>0</v>
      </c>
      <c r="C135" s="201">
        <v>97.66</v>
      </c>
      <c r="D135" s="201">
        <v>97.66</v>
      </c>
      <c r="E135" s="202">
        <v>23437.5</v>
      </c>
    </row>
    <row r="136" spans="1:5" s="59" customFormat="1" ht="19" x14ac:dyDescent="0.25">
      <c r="A136" s="203">
        <v>116</v>
      </c>
      <c r="B136" s="204">
        <v>0</v>
      </c>
      <c r="C136" s="204">
        <v>97.66</v>
      </c>
      <c r="D136" s="204">
        <v>97.66</v>
      </c>
      <c r="E136" s="205">
        <v>23437.5</v>
      </c>
    </row>
    <row r="137" spans="1:5" s="59" customFormat="1" ht="19" x14ac:dyDescent="0.25">
      <c r="A137" s="200">
        <v>117</v>
      </c>
      <c r="B137" s="201">
        <v>11718.75</v>
      </c>
      <c r="C137" s="201">
        <v>97.66</v>
      </c>
      <c r="D137" s="201">
        <v>11816.41</v>
      </c>
      <c r="E137" s="202">
        <v>11718.75</v>
      </c>
    </row>
    <row r="138" spans="1:5" s="59" customFormat="1" ht="19" x14ac:dyDescent="0.25">
      <c r="A138" s="203">
        <v>118</v>
      </c>
      <c r="B138" s="204">
        <v>0</v>
      </c>
      <c r="C138" s="204">
        <v>48.83</v>
      </c>
      <c r="D138" s="204">
        <v>48.83</v>
      </c>
      <c r="E138" s="205">
        <v>11718.75</v>
      </c>
    </row>
    <row r="139" spans="1:5" s="59" customFormat="1" ht="19" x14ac:dyDescent="0.25">
      <c r="A139" s="200">
        <v>119</v>
      </c>
      <c r="B139" s="201">
        <v>0</v>
      </c>
      <c r="C139" s="201">
        <v>48.83</v>
      </c>
      <c r="D139" s="201">
        <v>48.83</v>
      </c>
      <c r="E139" s="202">
        <v>11718.75</v>
      </c>
    </row>
    <row r="140" spans="1:5" s="59" customFormat="1" ht="19" x14ac:dyDescent="0.25">
      <c r="A140" s="203">
        <v>120</v>
      </c>
      <c r="B140" s="204">
        <v>11718.75</v>
      </c>
      <c r="C140" s="204">
        <v>48.83</v>
      </c>
      <c r="D140" s="204">
        <v>11767.58</v>
      </c>
      <c r="E140" s="205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7C0F-E251-BF48-9389-A0317EA14003}">
  <dimension ref="A1:U141"/>
  <sheetViews>
    <sheetView topLeftCell="A115" zoomScale="86" workbookViewId="0">
      <selection activeCell="E143" sqref="E143"/>
    </sheetView>
  </sheetViews>
  <sheetFormatPr baseColWidth="10" defaultRowHeight="19" x14ac:dyDescent="0.25"/>
  <cols>
    <col min="1" max="1" width="35.83203125" style="59" customWidth="1"/>
    <col min="2" max="2" width="18.33203125" style="59" customWidth="1"/>
    <col min="3" max="3" width="33.33203125" style="58" customWidth="1"/>
    <col min="4" max="4" width="10.83203125" style="59" customWidth="1"/>
    <col min="5" max="5" width="29.6640625" style="59" customWidth="1"/>
    <col min="6" max="6" width="14.5" style="59" customWidth="1"/>
    <col min="7" max="7" width="21.33203125" style="58" customWidth="1"/>
    <col min="8" max="8" width="5.6640625" style="59" customWidth="1"/>
    <col min="9" max="9" width="27.6640625" style="59" customWidth="1"/>
    <col min="10" max="10" width="6.33203125" style="59" customWidth="1"/>
    <col min="11" max="12" width="6.5" style="59" customWidth="1"/>
    <col min="13" max="13" width="34.33203125" style="59" customWidth="1"/>
    <col min="14" max="14" width="13.83203125" style="59" customWidth="1"/>
    <col min="15" max="15" width="20.6640625" style="59" customWidth="1"/>
    <col min="16" max="16" width="10.83203125" style="59"/>
    <col min="17" max="17" width="27.33203125" style="59" customWidth="1"/>
    <col min="18" max="18" width="10.83203125" style="59"/>
    <col min="19" max="19" width="22.5" style="58" customWidth="1"/>
    <col min="20" max="20" width="5" style="59" customWidth="1"/>
    <col min="21" max="21" width="25.83203125" style="59" customWidth="1"/>
    <col min="22" max="22" width="10.83203125" style="59"/>
    <col min="23" max="23" width="19.83203125" style="59" customWidth="1"/>
    <col min="24" max="16384" width="10.83203125" style="59"/>
  </cols>
  <sheetData>
    <row r="1" spans="1:21" ht="67" customHeight="1" x14ac:dyDescent="0.4">
      <c r="A1" s="147"/>
      <c r="B1" s="148" t="s">
        <v>194</v>
      </c>
      <c r="C1" s="146"/>
      <c r="E1" s="147"/>
      <c r="F1" s="147"/>
      <c r="G1" s="146"/>
      <c r="H1" s="147"/>
      <c r="I1" s="147"/>
      <c r="J1" s="147"/>
      <c r="K1" s="147"/>
      <c r="L1" s="147"/>
      <c r="M1" s="147"/>
      <c r="U1" s="69"/>
    </row>
    <row r="2" spans="1:21" ht="20" customHeight="1" x14ac:dyDescent="0.25"/>
    <row r="3" spans="1:21" ht="20" customHeight="1" x14ac:dyDescent="0.25">
      <c r="A3" s="56" t="s">
        <v>173</v>
      </c>
      <c r="B3" s="57"/>
      <c r="C3" s="58" t="s">
        <v>170</v>
      </c>
      <c r="D3" s="56"/>
      <c r="E3" s="56" t="s">
        <v>172</v>
      </c>
      <c r="F3" s="56"/>
      <c r="G3" s="58" t="s">
        <v>170</v>
      </c>
      <c r="M3" s="56"/>
      <c r="N3" s="57"/>
      <c r="O3" s="58"/>
      <c r="P3" s="56"/>
      <c r="Q3" s="56"/>
      <c r="R3" s="56"/>
    </row>
    <row r="4" spans="1:21" ht="20" customHeight="1" x14ac:dyDescent="0.25">
      <c r="A4" s="61" t="s">
        <v>9</v>
      </c>
      <c r="B4" s="61" t="s">
        <v>147</v>
      </c>
      <c r="C4" s="62" t="s">
        <v>112</v>
      </c>
      <c r="D4" s="56"/>
      <c r="E4" s="61" t="s">
        <v>9</v>
      </c>
      <c r="F4" s="61" t="s">
        <v>10</v>
      </c>
      <c r="G4" s="63" t="s">
        <v>112</v>
      </c>
      <c r="I4" s="56"/>
      <c r="M4" s="56"/>
      <c r="N4" s="56"/>
      <c r="O4" s="118"/>
      <c r="P4" s="56"/>
      <c r="Q4" s="56"/>
      <c r="R4" s="56"/>
      <c r="S4" s="110"/>
    </row>
    <row r="5" spans="1:21" ht="20" customHeight="1" x14ac:dyDescent="0.25">
      <c r="A5" s="65" t="s">
        <v>137</v>
      </c>
      <c r="B5" s="65">
        <v>1</v>
      </c>
      <c r="C5" s="66">
        <f>B5*('Role-Salary Helper '!C13*'Role-Salary Helper '!C27*51)</f>
        <v>7956</v>
      </c>
      <c r="D5" s="67"/>
      <c r="E5" s="68" t="s">
        <v>141</v>
      </c>
      <c r="F5" s="68">
        <v>0.3</v>
      </c>
      <c r="G5" s="66">
        <f>F5*(51*'Role-Salary Helper '!F16)</f>
        <v>5355</v>
      </c>
      <c r="I5" s="69"/>
      <c r="M5" s="70"/>
      <c r="N5" s="70"/>
      <c r="O5" s="119"/>
      <c r="P5" s="67"/>
      <c r="Q5" s="67"/>
      <c r="R5" s="67"/>
      <c r="S5" s="120"/>
    </row>
    <row r="6" spans="1:21" ht="20" customHeight="1" x14ac:dyDescent="0.25">
      <c r="A6" s="65" t="s">
        <v>149</v>
      </c>
      <c r="B6" s="65">
        <v>1</v>
      </c>
      <c r="C6" s="66">
        <f>B6*('Role-Salary Helper '!C14*'Role-Salary Helper '!C27*51)</f>
        <v>6961.5</v>
      </c>
      <c r="D6" s="70"/>
      <c r="E6" s="71" t="s">
        <v>210</v>
      </c>
      <c r="F6" s="65">
        <v>0.3</v>
      </c>
      <c r="G6" s="66">
        <f>F6*(51*'Role-Salary Helper '!F17)</f>
        <v>2295</v>
      </c>
      <c r="I6" s="69"/>
      <c r="M6" s="70"/>
      <c r="N6" s="70"/>
      <c r="O6" s="119"/>
      <c r="P6" s="70"/>
      <c r="Q6" s="67"/>
      <c r="R6" s="67"/>
      <c r="S6" s="120"/>
    </row>
    <row r="7" spans="1:21" ht="20" customHeight="1" x14ac:dyDescent="0.25">
      <c r="A7" s="65" t="s">
        <v>40</v>
      </c>
      <c r="B7" s="65">
        <v>1</v>
      </c>
      <c r="C7" s="66">
        <f>B7*('Role-Salary Helper '!C15*'Role-Salary Helper '!C27*51)</f>
        <v>6630</v>
      </c>
      <c r="D7" s="70"/>
      <c r="E7" s="107" t="s">
        <v>41</v>
      </c>
      <c r="F7" s="108">
        <v>2.5000000000000001E-2</v>
      </c>
      <c r="G7" s="66">
        <f>F7*(51*'Role-Salary Helper '!F19)</f>
        <v>765</v>
      </c>
      <c r="I7" s="69"/>
      <c r="M7" s="70"/>
      <c r="N7" s="70"/>
      <c r="O7" s="119"/>
      <c r="P7" s="70"/>
      <c r="Q7" s="121"/>
      <c r="R7" s="70"/>
      <c r="S7" s="120"/>
      <c r="U7" s="69"/>
    </row>
    <row r="8" spans="1:21" ht="20" customHeight="1" x14ac:dyDescent="0.25">
      <c r="A8" s="75" t="s">
        <v>218</v>
      </c>
      <c r="B8" s="75">
        <v>1</v>
      </c>
      <c r="C8" s="66">
        <f>B8*('Role-Salary Helper '!F27*51)</f>
        <v>17850</v>
      </c>
      <c r="D8" s="70"/>
      <c r="E8" s="71" t="s">
        <v>143</v>
      </c>
      <c r="F8" s="65">
        <v>0.3</v>
      </c>
      <c r="G8" s="66">
        <f>F8*('Role-Salary Helper '!F21*51)</f>
        <v>2295</v>
      </c>
      <c r="I8" s="69"/>
      <c r="M8" s="121"/>
      <c r="N8" s="70"/>
      <c r="O8" s="119"/>
      <c r="P8" s="70"/>
      <c r="Q8" s="122"/>
      <c r="R8" s="123"/>
      <c r="S8" s="124"/>
      <c r="U8" s="69"/>
    </row>
    <row r="9" spans="1:21" ht="20" customHeight="1" x14ac:dyDescent="0.25">
      <c r="A9" s="75" t="s">
        <v>217</v>
      </c>
      <c r="B9" s="75">
        <v>0.3</v>
      </c>
      <c r="C9" s="66">
        <f>B9*('Role-Salary Helper '!F27*51)</f>
        <v>5355</v>
      </c>
      <c r="E9" s="68"/>
      <c r="F9" s="65"/>
      <c r="G9" s="66">
        <f t="shared" ref="G9" si="0">F9*(102*250)</f>
        <v>0</v>
      </c>
      <c r="I9" s="69"/>
      <c r="M9" s="70"/>
      <c r="N9" s="70"/>
      <c r="O9" s="119"/>
      <c r="Q9" s="121"/>
      <c r="R9" s="70"/>
      <c r="S9" s="119"/>
      <c r="U9" s="69"/>
    </row>
    <row r="10" spans="1:21" ht="20" customHeight="1" x14ac:dyDescent="0.25">
      <c r="A10" s="75" t="s">
        <v>235</v>
      </c>
      <c r="B10" s="75">
        <v>0.1</v>
      </c>
      <c r="C10" s="66">
        <f>B10*('Role-Salary Helper '!F27*51)</f>
        <v>1785</v>
      </c>
      <c r="D10" s="67"/>
      <c r="E10" s="68"/>
      <c r="F10" s="65"/>
      <c r="G10" s="66">
        <f t="shared" ref="G10:G12" si="1">F10*(102*250)</f>
        <v>0</v>
      </c>
      <c r="I10" s="69"/>
      <c r="M10" s="125"/>
      <c r="N10" s="125"/>
      <c r="O10" s="119"/>
      <c r="P10" s="67"/>
      <c r="Q10" s="126"/>
      <c r="R10" s="127"/>
      <c r="S10" s="119"/>
      <c r="U10" s="69"/>
    </row>
    <row r="11" spans="1:21" ht="20" customHeight="1" x14ac:dyDescent="0.25">
      <c r="A11" s="68"/>
      <c r="B11" s="68"/>
      <c r="C11" s="66">
        <f t="shared" ref="C11" si="2">B11*(36400/4)</f>
        <v>0</v>
      </c>
      <c r="D11" s="67"/>
      <c r="E11" s="68"/>
      <c r="F11" s="65"/>
      <c r="G11" s="66">
        <f t="shared" si="1"/>
        <v>0</v>
      </c>
      <c r="M11" s="67"/>
      <c r="N11" s="67"/>
      <c r="O11" s="119"/>
      <c r="P11" s="67"/>
      <c r="Q11" s="67"/>
      <c r="R11" s="70"/>
      <c r="S11" s="119"/>
      <c r="U11" s="69"/>
    </row>
    <row r="12" spans="1:21" ht="20" customHeight="1" x14ac:dyDescent="0.25">
      <c r="A12" s="68"/>
      <c r="B12" s="68"/>
      <c r="C12" s="66">
        <f t="shared" ref="C12" si="3">B12*(102*250)</f>
        <v>0</v>
      </c>
      <c r="D12" s="67"/>
      <c r="E12" s="68"/>
      <c r="F12" s="65"/>
      <c r="G12" s="66">
        <f t="shared" si="1"/>
        <v>0</v>
      </c>
      <c r="M12" s="67"/>
      <c r="N12" s="67"/>
      <c r="O12" s="119"/>
      <c r="P12" s="67"/>
      <c r="Q12" s="67"/>
      <c r="R12" s="70"/>
      <c r="S12" s="119"/>
    </row>
    <row r="13" spans="1:21" ht="20" customHeight="1" x14ac:dyDescent="0.25">
      <c r="A13" s="77" t="s">
        <v>146</v>
      </c>
      <c r="B13" s="78">
        <f>SUM(B5:B12)</f>
        <v>4.3999999999999995</v>
      </c>
      <c r="C13" s="104">
        <f>SUM(C5:C12)</f>
        <v>46537.5</v>
      </c>
      <c r="E13" s="77" t="s">
        <v>146</v>
      </c>
      <c r="F13" s="78">
        <f>SUM(F5:F12)</f>
        <v>0.92500000000000004</v>
      </c>
      <c r="G13" s="104">
        <f>SUM(G5:G12)</f>
        <v>10710</v>
      </c>
      <c r="I13" s="83"/>
      <c r="M13" s="115"/>
      <c r="N13" s="70"/>
      <c r="O13" s="116"/>
      <c r="Q13" s="115"/>
      <c r="R13" s="70"/>
      <c r="S13" s="116"/>
    </row>
    <row r="14" spans="1:21" ht="20" customHeight="1" x14ac:dyDescent="0.25">
      <c r="A14" s="115"/>
      <c r="B14" s="70"/>
      <c r="C14" s="116"/>
      <c r="E14" s="115"/>
      <c r="F14" s="70"/>
      <c r="G14" s="116"/>
      <c r="I14" s="83"/>
      <c r="M14" s="115"/>
      <c r="N14" s="70"/>
      <c r="O14" s="116"/>
      <c r="Q14" s="115"/>
      <c r="R14" s="70"/>
      <c r="S14" s="116"/>
      <c r="U14" s="83"/>
    </row>
    <row r="15" spans="1:21" customFormat="1" ht="20" customHeight="1" x14ac:dyDescent="0.25">
      <c r="C15" s="61" t="s">
        <v>148</v>
      </c>
      <c r="I15" s="61" t="s">
        <v>181</v>
      </c>
    </row>
    <row r="16" spans="1:21" ht="20" customHeight="1" x14ac:dyDescent="0.25">
      <c r="A16" s="115"/>
      <c r="B16" s="70"/>
      <c r="C16" s="117">
        <f>SUM(G13,C13)</f>
        <v>57247.5</v>
      </c>
      <c r="E16" s="115"/>
      <c r="F16" s="70"/>
      <c r="G16" s="116"/>
      <c r="I16" s="117">
        <f>SUM(C16)</f>
        <v>57247.5</v>
      </c>
      <c r="M16" s="115"/>
      <c r="N16" s="70"/>
      <c r="O16" s="116"/>
      <c r="Q16" s="115"/>
      <c r="R16" s="70"/>
      <c r="S16" s="116"/>
      <c r="U16" s="83"/>
    </row>
    <row r="17" spans="1:21" ht="20" customHeight="1" x14ac:dyDescent="0.25">
      <c r="A17" s="115"/>
      <c r="B17" s="70"/>
      <c r="C17" s="116"/>
      <c r="E17" s="115"/>
      <c r="F17" s="70"/>
      <c r="G17" s="116"/>
      <c r="I17" s="83"/>
      <c r="M17" s="115"/>
      <c r="N17" s="70"/>
      <c r="O17" s="116"/>
      <c r="Q17" s="115"/>
      <c r="R17" s="70"/>
      <c r="S17" s="116"/>
      <c r="U17" s="83"/>
    </row>
    <row r="18" spans="1:21" ht="20" customHeight="1" x14ac:dyDescent="0.25"/>
    <row r="19" spans="1:21" ht="20" customHeight="1" x14ac:dyDescent="0.25">
      <c r="A19" s="56" t="s">
        <v>175</v>
      </c>
      <c r="B19" s="57"/>
      <c r="C19" s="58" t="s">
        <v>171</v>
      </c>
      <c r="D19" s="56"/>
      <c r="E19" s="56" t="s">
        <v>178</v>
      </c>
      <c r="F19" s="56"/>
      <c r="G19" s="58" t="s">
        <v>171</v>
      </c>
      <c r="M19" s="56"/>
      <c r="N19" s="57"/>
      <c r="O19" s="58"/>
      <c r="P19" s="56"/>
      <c r="Q19" s="56"/>
      <c r="R19" s="56"/>
    </row>
    <row r="20" spans="1:21" ht="20" customHeight="1" x14ac:dyDescent="0.25">
      <c r="A20" s="61" t="s">
        <v>9</v>
      </c>
      <c r="B20" s="61" t="s">
        <v>147</v>
      </c>
      <c r="C20" s="62" t="s">
        <v>112</v>
      </c>
      <c r="D20" s="56"/>
      <c r="E20" s="61" t="s">
        <v>9</v>
      </c>
      <c r="F20" s="61" t="s">
        <v>10</v>
      </c>
      <c r="G20" s="63" t="s">
        <v>112</v>
      </c>
      <c r="I20" s="56"/>
      <c r="M20" s="56"/>
      <c r="N20" s="56"/>
      <c r="O20" s="118"/>
      <c r="P20" s="56"/>
      <c r="Q20" s="56"/>
      <c r="R20" s="56"/>
      <c r="S20" s="110"/>
    </row>
    <row r="21" spans="1:21" ht="20" customHeight="1" x14ac:dyDescent="0.25">
      <c r="A21" s="65" t="s">
        <v>139</v>
      </c>
      <c r="B21" s="65">
        <v>1</v>
      </c>
      <c r="C21" s="66">
        <f>B21*('Role-Salary Helper '!C12*'Role-Salary Helper '!C28*51)</f>
        <v>4845</v>
      </c>
      <c r="D21" s="67"/>
      <c r="E21" s="68" t="s">
        <v>141</v>
      </c>
      <c r="F21" s="68">
        <v>0.2</v>
      </c>
      <c r="G21" s="66">
        <f>F21*(51*'Role-Salary Helper '!F16)</f>
        <v>3570</v>
      </c>
      <c r="I21" s="69"/>
      <c r="M21" s="70"/>
      <c r="N21" s="70"/>
      <c r="O21" s="119"/>
      <c r="P21" s="67"/>
      <c r="Q21" s="67"/>
      <c r="R21" s="67"/>
      <c r="S21" s="120"/>
    </row>
    <row r="22" spans="1:21" ht="20" customHeight="1" x14ac:dyDescent="0.25">
      <c r="A22" s="65" t="s">
        <v>137</v>
      </c>
      <c r="B22" s="65">
        <v>1</v>
      </c>
      <c r="C22" s="66">
        <f>B22*('Role-Salary Helper '!C13*'Role-Salary Helper '!C27*51)</f>
        <v>7956</v>
      </c>
      <c r="D22" s="70"/>
      <c r="E22" s="71" t="s">
        <v>210</v>
      </c>
      <c r="F22" s="65">
        <v>0.1</v>
      </c>
      <c r="G22" s="66">
        <f>F22*(51*'Role-Salary Helper '!F17)</f>
        <v>765</v>
      </c>
      <c r="I22" s="69"/>
      <c r="M22" s="70"/>
      <c r="N22" s="70"/>
      <c r="O22" s="119"/>
      <c r="P22" s="70"/>
      <c r="Q22" s="67"/>
      <c r="R22" s="67"/>
      <c r="S22" s="120"/>
    </row>
    <row r="23" spans="1:21" ht="20" customHeight="1" x14ac:dyDescent="0.25">
      <c r="A23" s="65" t="s">
        <v>149</v>
      </c>
      <c r="B23" s="65">
        <v>1</v>
      </c>
      <c r="C23" s="66">
        <f>B23*('Role-Salary Helper '!C14*'Role-Salary Helper '!C27*51)</f>
        <v>6961.5</v>
      </c>
      <c r="D23" s="70"/>
      <c r="E23" s="107" t="s">
        <v>41</v>
      </c>
      <c r="F23" s="108">
        <v>2.5000000000000001E-2</v>
      </c>
      <c r="G23" s="66">
        <f>F23*(51*'Role-Salary Helper '!F19)</f>
        <v>765</v>
      </c>
      <c r="I23" s="69"/>
      <c r="M23" s="70"/>
      <c r="N23" s="70"/>
      <c r="O23" s="119"/>
      <c r="P23" s="70"/>
      <c r="Q23" s="121"/>
      <c r="R23" s="70"/>
      <c r="S23" s="120"/>
      <c r="U23" s="69"/>
    </row>
    <row r="24" spans="1:21" ht="20" customHeight="1" x14ac:dyDescent="0.25">
      <c r="A24" s="65" t="s">
        <v>40</v>
      </c>
      <c r="B24" s="65">
        <v>1</v>
      </c>
      <c r="C24" s="66">
        <f>B24*('Role-Salary Helper '!C15*'Role-Salary Helper '!C27*51)</f>
        <v>6630</v>
      </c>
      <c r="D24" s="70"/>
      <c r="E24" s="71" t="s">
        <v>143</v>
      </c>
      <c r="F24" s="65">
        <v>0.3</v>
      </c>
      <c r="G24" s="66">
        <f>F24*('Role-Salary Helper '!F21*51)</f>
        <v>2295</v>
      </c>
      <c r="I24" s="69"/>
      <c r="M24" s="121"/>
      <c r="N24" s="70"/>
      <c r="O24" s="119"/>
      <c r="P24" s="70"/>
      <c r="Q24" s="122"/>
      <c r="R24" s="123"/>
      <c r="S24" s="124"/>
      <c r="U24" s="69"/>
    </row>
    <row r="25" spans="1:21" ht="20" customHeight="1" x14ac:dyDescent="0.25">
      <c r="A25" s="75" t="s">
        <v>218</v>
      </c>
      <c r="B25" s="75">
        <v>1</v>
      </c>
      <c r="C25" s="66">
        <f>B25*('Role-Salary Helper '!F27*51)</f>
        <v>17850</v>
      </c>
      <c r="E25" s="72"/>
      <c r="F25" s="73"/>
      <c r="G25" s="66">
        <f>F25*(102*250)</f>
        <v>0</v>
      </c>
      <c r="I25" s="69"/>
      <c r="M25" s="70"/>
      <c r="N25" s="70"/>
      <c r="O25" s="119"/>
      <c r="Q25" s="121"/>
      <c r="R25" s="70"/>
      <c r="S25" s="119"/>
      <c r="U25" s="69"/>
    </row>
    <row r="26" spans="1:21" ht="20" customHeight="1" x14ac:dyDescent="0.25">
      <c r="A26" s="75" t="s">
        <v>217</v>
      </c>
      <c r="B26" s="75">
        <v>0.3</v>
      </c>
      <c r="C26" s="66">
        <f>B26*('Role-Salary Helper '!F27*51)</f>
        <v>5355</v>
      </c>
      <c r="D26" s="67"/>
      <c r="E26" s="68"/>
      <c r="F26" s="65"/>
      <c r="G26" s="66">
        <f t="shared" ref="G26:G28" si="4">F26*(102*250)</f>
        <v>0</v>
      </c>
      <c r="I26" s="69"/>
      <c r="M26" s="125"/>
      <c r="N26" s="125"/>
      <c r="O26" s="119"/>
      <c r="P26" s="67"/>
      <c r="Q26" s="126"/>
      <c r="R26" s="127"/>
      <c r="S26" s="119"/>
      <c r="U26" s="69"/>
    </row>
    <row r="27" spans="1:21" ht="20" customHeight="1" x14ac:dyDescent="0.25">
      <c r="A27" s="75" t="s">
        <v>235</v>
      </c>
      <c r="B27" s="75">
        <v>0.1</v>
      </c>
      <c r="C27" s="66">
        <f>B27*('Role-Salary Helper '!F27*51)</f>
        <v>1785</v>
      </c>
      <c r="D27" s="67"/>
      <c r="E27" s="68"/>
      <c r="F27" s="65"/>
      <c r="G27" s="66">
        <f t="shared" si="4"/>
        <v>0</v>
      </c>
      <c r="I27" s="69"/>
      <c r="M27" s="67"/>
      <c r="N27" s="67"/>
      <c r="O27" s="119"/>
      <c r="P27" s="67"/>
      <c r="Q27" s="67"/>
      <c r="R27" s="70"/>
      <c r="S27" s="119"/>
      <c r="U27" s="69"/>
    </row>
    <row r="28" spans="1:21" ht="20" customHeight="1" x14ac:dyDescent="0.25">
      <c r="A28" s="68"/>
      <c r="B28" s="68"/>
      <c r="C28" s="66">
        <f t="shared" ref="C28" si="5">B28*(102*250)</f>
        <v>0</v>
      </c>
      <c r="D28" s="67"/>
      <c r="E28" s="68"/>
      <c r="F28" s="65"/>
      <c r="G28" s="66">
        <f t="shared" si="4"/>
        <v>0</v>
      </c>
      <c r="M28" s="67"/>
      <c r="N28" s="67"/>
      <c r="O28" s="119"/>
      <c r="P28" s="67"/>
      <c r="Q28" s="67"/>
      <c r="R28" s="70"/>
      <c r="S28" s="119"/>
      <c r="U28" s="56"/>
    </row>
    <row r="29" spans="1:21" ht="20" customHeight="1" x14ac:dyDescent="0.25">
      <c r="A29" s="77" t="s">
        <v>146</v>
      </c>
      <c r="B29" s="134">
        <f>SUM(B21:B28)</f>
        <v>5.3999999999999995</v>
      </c>
      <c r="C29" s="104">
        <f>SUM(C21:C28)</f>
        <v>51382.5</v>
      </c>
      <c r="E29" s="77" t="s">
        <v>146</v>
      </c>
      <c r="F29" s="134">
        <f>SUM(F21:F28)</f>
        <v>0.625</v>
      </c>
      <c r="G29" s="104">
        <f>SUM(G21:G28)</f>
        <v>7395</v>
      </c>
      <c r="M29" s="115"/>
      <c r="N29" s="70"/>
      <c r="O29" s="116"/>
      <c r="Q29" s="115"/>
      <c r="R29" s="70"/>
      <c r="S29" s="116"/>
      <c r="U29" s="83"/>
    </row>
    <row r="30" spans="1:21" ht="20" customHeight="1" x14ac:dyDescent="0.25">
      <c r="A30" s="115"/>
      <c r="B30" s="70"/>
      <c r="C30" s="116"/>
      <c r="E30" s="115"/>
      <c r="F30" s="70"/>
      <c r="G30" s="116"/>
      <c r="I30" s="83"/>
      <c r="M30" s="115"/>
      <c r="N30" s="70"/>
      <c r="O30" s="116"/>
      <c r="Q30" s="115"/>
      <c r="R30" s="70"/>
      <c r="S30" s="116"/>
      <c r="U30" s="83"/>
    </row>
    <row r="31" spans="1:21" ht="20" customHeight="1" x14ac:dyDescent="0.25">
      <c r="A31" s="115"/>
      <c r="B31" s="70"/>
      <c r="C31" s="61" t="s">
        <v>148</v>
      </c>
      <c r="E31" s="115"/>
      <c r="F31" s="70"/>
      <c r="G31" s="116"/>
      <c r="I31" s="61" t="s">
        <v>181</v>
      </c>
      <c r="M31" s="115"/>
      <c r="N31" s="70"/>
      <c r="O31" s="116"/>
      <c r="Q31" s="115"/>
      <c r="R31" s="70"/>
      <c r="S31" s="116"/>
      <c r="U31" s="83"/>
    </row>
    <row r="32" spans="1:21" ht="20" customHeight="1" x14ac:dyDescent="0.25">
      <c r="A32" s="115"/>
      <c r="B32" s="70"/>
      <c r="C32" s="117">
        <f>SUM(C29,G29)</f>
        <v>58777.5</v>
      </c>
      <c r="E32" s="115"/>
      <c r="F32" s="70"/>
      <c r="G32" s="116"/>
      <c r="I32" s="117">
        <f>SUM(I16,C32)</f>
        <v>116025</v>
      </c>
      <c r="M32" s="115"/>
      <c r="N32" s="70"/>
      <c r="O32" s="116"/>
      <c r="Q32" s="115"/>
      <c r="R32" s="70"/>
      <c r="S32" s="116"/>
      <c r="U32" s="83"/>
    </row>
    <row r="33" spans="1:21" ht="20" customHeight="1" x14ac:dyDescent="0.25">
      <c r="A33" s="115"/>
      <c r="B33" s="70"/>
      <c r="C33" s="83"/>
      <c r="E33" s="115"/>
      <c r="F33" s="70"/>
      <c r="G33" s="116"/>
      <c r="I33" s="83"/>
      <c r="M33" s="115"/>
      <c r="N33" s="70"/>
      <c r="O33" s="116"/>
      <c r="Q33" s="115"/>
      <c r="R33" s="70"/>
      <c r="S33" s="116"/>
      <c r="U33" s="83"/>
    </row>
    <row r="34" spans="1:21" ht="20" customHeight="1" x14ac:dyDescent="0.25">
      <c r="A34" s="115"/>
      <c r="B34" s="70"/>
      <c r="C34" s="83"/>
      <c r="E34" s="115"/>
      <c r="F34" s="70"/>
      <c r="G34" s="116"/>
      <c r="I34" s="83"/>
      <c r="M34" s="115"/>
      <c r="N34" s="70"/>
      <c r="O34" s="116"/>
      <c r="Q34" s="115"/>
      <c r="R34" s="70"/>
      <c r="S34" s="116"/>
      <c r="U34" s="83"/>
    </row>
    <row r="35" spans="1:21" ht="20" customHeight="1" x14ac:dyDescent="0.25">
      <c r="A35" s="115"/>
      <c r="B35" s="70"/>
      <c r="C35" s="83"/>
      <c r="E35" s="115"/>
      <c r="F35" s="70"/>
      <c r="G35" s="116"/>
      <c r="I35" s="83"/>
      <c r="M35" s="115"/>
      <c r="N35" s="70"/>
      <c r="O35" s="116"/>
      <c r="Q35" s="115"/>
      <c r="R35" s="70"/>
      <c r="S35" s="116"/>
      <c r="U35" s="83"/>
    </row>
    <row r="36" spans="1:21" ht="20" customHeight="1" x14ac:dyDescent="0.25">
      <c r="A36" s="56" t="s">
        <v>199</v>
      </c>
      <c r="B36" s="57"/>
      <c r="C36" s="110" t="s">
        <v>177</v>
      </c>
      <c r="D36" s="56"/>
      <c r="E36" s="56" t="s">
        <v>200</v>
      </c>
      <c r="F36" s="56"/>
      <c r="G36" s="110" t="s">
        <v>177</v>
      </c>
      <c r="H36" s="57"/>
      <c r="I36" s="57"/>
      <c r="M36" s="115"/>
      <c r="N36" s="70"/>
      <c r="O36" s="116"/>
      <c r="Q36" s="115"/>
      <c r="R36" s="70"/>
      <c r="S36" s="116"/>
      <c r="U36" s="83"/>
    </row>
    <row r="37" spans="1:21" ht="20" customHeight="1" x14ac:dyDescent="0.25">
      <c r="A37" s="61" t="s">
        <v>9</v>
      </c>
      <c r="B37" s="91" t="s">
        <v>147</v>
      </c>
      <c r="C37" s="90" t="s">
        <v>112</v>
      </c>
      <c r="D37" s="56"/>
      <c r="E37" s="61" t="s">
        <v>9</v>
      </c>
      <c r="F37" s="91" t="s">
        <v>10</v>
      </c>
      <c r="G37" s="92" t="s">
        <v>112</v>
      </c>
      <c r="H37" s="57"/>
      <c r="I37" s="56"/>
      <c r="M37" s="115"/>
      <c r="N37" s="70"/>
      <c r="O37" s="116"/>
      <c r="Q37" s="115"/>
      <c r="R37" s="70"/>
      <c r="S37" s="116"/>
      <c r="U37" s="83"/>
    </row>
    <row r="38" spans="1:21" ht="20" customHeight="1" x14ac:dyDescent="0.25">
      <c r="A38" s="65" t="s">
        <v>139</v>
      </c>
      <c r="B38" s="65">
        <v>1</v>
      </c>
      <c r="C38" s="66">
        <f>B38*('Role-Salary Helper '!C12*'Role-Salary Helper '!C28*51)</f>
        <v>4845</v>
      </c>
      <c r="D38" s="67"/>
      <c r="E38" s="99" t="s">
        <v>141</v>
      </c>
      <c r="F38" s="129">
        <v>0.3</v>
      </c>
      <c r="G38" s="66">
        <f>F38*('Role-Salary Helper '!F16*51)</f>
        <v>5355</v>
      </c>
      <c r="H38" s="57"/>
      <c r="I38" s="94"/>
      <c r="M38" s="115"/>
      <c r="N38" s="70"/>
      <c r="O38" s="116"/>
      <c r="Q38" s="115"/>
      <c r="R38" s="70"/>
      <c r="S38" s="116"/>
      <c r="U38" s="83"/>
    </row>
    <row r="39" spans="1:21" ht="20" customHeight="1" x14ac:dyDescent="0.25">
      <c r="A39" s="65" t="s">
        <v>137</v>
      </c>
      <c r="B39" s="65">
        <v>1</v>
      </c>
      <c r="C39" s="66">
        <f>B39*('Role-Salary Helper '!C13*'Role-Salary Helper '!C27*51)</f>
        <v>7956</v>
      </c>
      <c r="D39" s="70"/>
      <c r="E39" s="71" t="s">
        <v>210</v>
      </c>
      <c r="F39" s="100">
        <v>0.3</v>
      </c>
      <c r="G39" s="66">
        <f>F39*('Role-Salary Helper '!F17*51)</f>
        <v>2295</v>
      </c>
      <c r="H39" s="57"/>
      <c r="I39" s="94"/>
      <c r="M39" s="115"/>
      <c r="N39" s="70"/>
      <c r="O39" s="116"/>
      <c r="Q39" s="115"/>
      <c r="R39" s="70"/>
      <c r="S39" s="116"/>
      <c r="U39" s="83"/>
    </row>
    <row r="40" spans="1:21" ht="20" customHeight="1" x14ac:dyDescent="0.25">
      <c r="A40" s="65" t="s">
        <v>149</v>
      </c>
      <c r="B40" s="65">
        <v>1</v>
      </c>
      <c r="C40" s="66">
        <f>B40*('Role-Salary Helper '!C14*'Role-Salary Helper '!C27*51)</f>
        <v>6961.5</v>
      </c>
      <c r="D40" s="70"/>
      <c r="E40" s="131" t="s">
        <v>41</v>
      </c>
      <c r="F40" s="132">
        <v>2.5000000000000001E-2</v>
      </c>
      <c r="G40" s="66">
        <f>F40*('Role-Salary Helper '!F19*51)</f>
        <v>765</v>
      </c>
      <c r="H40" s="57"/>
      <c r="I40" s="94"/>
      <c r="M40" s="115"/>
      <c r="N40" s="70"/>
      <c r="O40" s="116"/>
      <c r="Q40" s="115"/>
      <c r="R40" s="70"/>
      <c r="S40" s="116"/>
      <c r="U40" s="83"/>
    </row>
    <row r="41" spans="1:21" ht="20" customHeight="1" x14ac:dyDescent="0.25">
      <c r="A41" s="65" t="s">
        <v>40</v>
      </c>
      <c r="B41" s="65">
        <v>1</v>
      </c>
      <c r="C41" s="66">
        <f>B41*('Role-Salary Helper '!C15*'Role-Salary Helper '!C27*51)</f>
        <v>6630</v>
      </c>
      <c r="D41" s="70"/>
      <c r="E41" s="130" t="s">
        <v>143</v>
      </c>
      <c r="F41" s="100">
        <v>0.3</v>
      </c>
      <c r="G41" s="66">
        <f>F41*('Role-Salary Helper '!F21*51)</f>
        <v>2295</v>
      </c>
      <c r="H41" s="57"/>
      <c r="I41" s="94"/>
      <c r="M41" s="115"/>
      <c r="N41" s="70"/>
      <c r="O41" s="116"/>
      <c r="Q41" s="115"/>
      <c r="R41" s="70"/>
      <c r="S41" s="116"/>
      <c r="U41" s="83"/>
    </row>
    <row r="42" spans="1:21" ht="20" customHeight="1" x14ac:dyDescent="0.25">
      <c r="A42" s="75" t="s">
        <v>218</v>
      </c>
      <c r="B42" s="75">
        <v>1</v>
      </c>
      <c r="C42" s="66">
        <f>B42*('Role-Salary Helper '!F27*51)</f>
        <v>17850</v>
      </c>
      <c r="D42" s="57"/>
      <c r="E42" s="99"/>
      <c r="F42" s="100"/>
      <c r="G42" s="66"/>
      <c r="H42" s="57"/>
      <c r="I42" s="94"/>
      <c r="M42" s="115"/>
      <c r="N42" s="70"/>
      <c r="O42" s="116"/>
      <c r="Q42" s="115"/>
      <c r="R42" s="70"/>
      <c r="S42" s="116"/>
      <c r="U42" s="83"/>
    </row>
    <row r="43" spans="1:21" ht="20" customHeight="1" x14ac:dyDescent="0.25">
      <c r="A43" s="75" t="s">
        <v>217</v>
      </c>
      <c r="B43" s="75">
        <v>0.3</v>
      </c>
      <c r="C43" s="66">
        <f>B43*('Role-Salary Helper '!F27*51)</f>
        <v>5355</v>
      </c>
      <c r="D43" s="67"/>
      <c r="E43" s="99"/>
      <c r="F43" s="100"/>
      <c r="G43" s="74"/>
      <c r="H43" s="57"/>
      <c r="I43" s="94"/>
      <c r="M43" s="115"/>
      <c r="N43" s="70"/>
      <c r="O43" s="116"/>
      <c r="Q43" s="115"/>
      <c r="R43" s="70"/>
      <c r="S43" s="116"/>
      <c r="U43" s="83"/>
    </row>
    <row r="44" spans="1:21" ht="20" customHeight="1" x14ac:dyDescent="0.25">
      <c r="A44" s="75" t="s">
        <v>235</v>
      </c>
      <c r="B44" s="75">
        <v>0.1</v>
      </c>
      <c r="C44" s="66">
        <f>B44*('Role-Salary Helper '!F27*51)</f>
        <v>1785</v>
      </c>
      <c r="D44" s="67"/>
      <c r="E44" s="99"/>
      <c r="F44" s="100"/>
      <c r="G44" s="128">
        <v>0</v>
      </c>
      <c r="H44" s="57"/>
      <c r="I44" s="57"/>
      <c r="M44" s="115"/>
      <c r="N44" s="70"/>
      <c r="O44" s="116"/>
      <c r="Q44" s="115"/>
      <c r="R44" s="70"/>
      <c r="S44" s="116"/>
      <c r="U44" s="83"/>
    </row>
    <row r="45" spans="1:21" ht="20" customHeight="1" x14ac:dyDescent="0.25">
      <c r="A45" s="99"/>
      <c r="B45" s="129"/>
      <c r="C45" s="128">
        <v>0</v>
      </c>
      <c r="D45" s="67"/>
      <c r="E45" s="99"/>
      <c r="F45" s="100"/>
      <c r="G45" s="128">
        <v>0</v>
      </c>
      <c r="H45" s="57"/>
      <c r="I45" s="57"/>
      <c r="M45" s="115"/>
      <c r="N45" s="70"/>
      <c r="O45" s="116"/>
      <c r="Q45" s="115"/>
      <c r="R45" s="70"/>
      <c r="S45" s="116"/>
      <c r="U45" s="83"/>
    </row>
    <row r="46" spans="1:21" ht="20" customHeight="1" x14ac:dyDescent="0.25">
      <c r="A46" s="133" t="s">
        <v>146</v>
      </c>
      <c r="B46" s="134">
        <f>SUM(B38:B45)</f>
        <v>5.3999999999999995</v>
      </c>
      <c r="C46" s="135">
        <f>SUM(C38:C45)</f>
        <v>51382.5</v>
      </c>
      <c r="D46" s="57"/>
      <c r="E46" s="133" t="s">
        <v>146</v>
      </c>
      <c r="F46" s="134">
        <f>SUM(F38:F45)</f>
        <v>0.92500000000000004</v>
      </c>
      <c r="G46" s="104">
        <f>SUM(G38:G45)</f>
        <v>10710</v>
      </c>
      <c r="H46" s="57"/>
      <c r="I46" s="83"/>
      <c r="M46" s="115"/>
      <c r="N46" s="70"/>
      <c r="O46" s="116"/>
      <c r="Q46" s="115"/>
      <c r="R46" s="70"/>
      <c r="S46" s="116"/>
      <c r="U46" s="83"/>
    </row>
    <row r="47" spans="1:21" ht="20" customHeight="1" x14ac:dyDescent="0.25">
      <c r="A47" s="110"/>
      <c r="B47" s="70"/>
      <c r="C47" s="136"/>
      <c r="D47" s="57"/>
      <c r="E47" s="110"/>
      <c r="F47" s="70"/>
      <c r="G47" s="136"/>
      <c r="H47" s="57"/>
      <c r="I47" s="83"/>
      <c r="M47" s="115"/>
      <c r="N47" s="70"/>
      <c r="O47" s="116"/>
      <c r="Q47" s="115"/>
      <c r="R47" s="70"/>
      <c r="S47" s="116"/>
      <c r="U47" s="83"/>
    </row>
    <row r="48" spans="1:21" ht="20" customHeight="1" x14ac:dyDescent="0.25">
      <c r="A48" s="109"/>
      <c r="B48" s="109"/>
      <c r="C48" s="61" t="s">
        <v>148</v>
      </c>
      <c r="D48" s="109"/>
      <c r="E48" s="109"/>
      <c r="F48" s="109"/>
      <c r="G48" s="109"/>
      <c r="H48" s="109"/>
      <c r="I48" s="61" t="s">
        <v>180</v>
      </c>
      <c r="M48" s="115"/>
      <c r="N48" s="70"/>
      <c r="O48" s="116"/>
      <c r="Q48" s="115"/>
      <c r="R48" s="70"/>
      <c r="S48" s="116"/>
      <c r="U48" s="83"/>
    </row>
    <row r="49" spans="1:21" ht="20" customHeight="1" x14ac:dyDescent="0.25">
      <c r="A49" s="110"/>
      <c r="B49" s="70"/>
      <c r="C49" s="117">
        <f>SUM(C46,G46)</f>
        <v>62092.5</v>
      </c>
      <c r="D49" s="57"/>
      <c r="E49" s="110"/>
      <c r="F49" s="70"/>
      <c r="G49" s="136"/>
      <c r="H49" s="57"/>
      <c r="I49" s="137">
        <f>SUM(I32,C49)</f>
        <v>178117.5</v>
      </c>
      <c r="M49" s="115"/>
      <c r="N49" s="70"/>
      <c r="O49" s="116"/>
      <c r="Q49" s="115"/>
      <c r="R49" s="70"/>
      <c r="S49" s="116"/>
      <c r="U49" s="83"/>
    </row>
    <row r="50" spans="1:21" ht="20" customHeight="1" x14ac:dyDescent="0.25">
      <c r="A50" s="110"/>
      <c r="B50" s="70"/>
      <c r="C50" s="136"/>
      <c r="D50" s="57"/>
      <c r="E50" s="110"/>
      <c r="F50" s="70"/>
      <c r="G50" s="136"/>
      <c r="H50" s="57"/>
      <c r="I50" s="83"/>
      <c r="M50" s="115"/>
      <c r="N50" s="70"/>
      <c r="O50" s="116"/>
      <c r="Q50" s="115"/>
      <c r="R50" s="70"/>
      <c r="S50" s="116"/>
      <c r="U50" s="83"/>
    </row>
    <row r="51" spans="1:21" ht="20" customHeight="1" x14ac:dyDescent="0.25">
      <c r="A51" s="110"/>
      <c r="B51" s="70"/>
      <c r="C51" s="136"/>
      <c r="D51" s="57"/>
      <c r="E51" s="110"/>
      <c r="F51" s="70"/>
      <c r="G51" s="136"/>
      <c r="H51" s="57"/>
      <c r="I51" s="83"/>
      <c r="M51" s="115"/>
      <c r="N51" s="70"/>
      <c r="O51" s="116"/>
      <c r="Q51" s="115"/>
      <c r="R51" s="70"/>
      <c r="S51" s="116"/>
      <c r="U51" s="83"/>
    </row>
    <row r="52" spans="1:21" ht="20" customHeight="1" x14ac:dyDescent="0.25">
      <c r="A52" s="57"/>
      <c r="B52" s="57"/>
      <c r="C52" s="110"/>
      <c r="D52" s="57"/>
      <c r="E52" s="57"/>
      <c r="F52" s="57"/>
      <c r="G52" s="110"/>
      <c r="H52" s="57"/>
      <c r="I52" s="57"/>
      <c r="M52" s="115"/>
      <c r="N52" s="70"/>
      <c r="O52" s="116"/>
      <c r="Q52" s="115"/>
      <c r="R52" s="70"/>
      <c r="S52" s="116"/>
      <c r="U52" s="83"/>
    </row>
    <row r="53" spans="1:21" ht="20" customHeight="1" x14ac:dyDescent="0.25">
      <c r="A53" s="56" t="s">
        <v>197</v>
      </c>
      <c r="B53" s="57"/>
      <c r="C53" s="110" t="s">
        <v>174</v>
      </c>
      <c r="D53" s="56"/>
      <c r="E53" s="56" t="s">
        <v>176</v>
      </c>
      <c r="F53" s="56"/>
      <c r="G53" s="110" t="s">
        <v>174</v>
      </c>
      <c r="H53" s="57"/>
      <c r="I53" s="57"/>
      <c r="M53" s="115"/>
      <c r="N53" s="70"/>
      <c r="O53" s="116"/>
      <c r="Q53" s="115"/>
      <c r="R53" s="70"/>
      <c r="S53" s="116"/>
      <c r="U53" s="83"/>
    </row>
    <row r="54" spans="1:21" ht="20" customHeight="1" x14ac:dyDescent="0.25">
      <c r="A54" s="61" t="s">
        <v>9</v>
      </c>
      <c r="B54" s="91" t="s">
        <v>147</v>
      </c>
      <c r="C54" s="90" t="s">
        <v>112</v>
      </c>
      <c r="D54" s="56"/>
      <c r="E54" s="61" t="s">
        <v>9</v>
      </c>
      <c r="F54" s="91" t="s">
        <v>10</v>
      </c>
      <c r="G54" s="92" t="s">
        <v>112</v>
      </c>
      <c r="H54" s="57"/>
      <c r="I54" s="56"/>
      <c r="M54" s="115"/>
      <c r="N54" s="70"/>
      <c r="O54" s="116"/>
      <c r="Q54" s="115"/>
      <c r="R54" s="70"/>
      <c r="S54" s="116"/>
      <c r="U54" s="83"/>
    </row>
    <row r="55" spans="1:21" ht="20" customHeight="1" x14ac:dyDescent="0.25">
      <c r="A55" s="65" t="s">
        <v>139</v>
      </c>
      <c r="B55" s="65">
        <v>1</v>
      </c>
      <c r="C55" s="66">
        <f>B55*('Role-Salary Helper '!C12*'Role-Salary Helper '!C28*51)</f>
        <v>4845</v>
      </c>
      <c r="D55" s="67"/>
      <c r="E55" s="99" t="s">
        <v>141</v>
      </c>
      <c r="F55" s="129">
        <v>0.3</v>
      </c>
      <c r="G55" s="66">
        <f>F55*('Role-Salary Helper '!F16*51)</f>
        <v>5355</v>
      </c>
      <c r="H55" s="57"/>
      <c r="I55" s="94"/>
      <c r="M55" s="115"/>
      <c r="N55" s="70"/>
      <c r="O55" s="116"/>
      <c r="Q55" s="115"/>
      <c r="R55" s="70"/>
      <c r="S55" s="116"/>
      <c r="U55" s="83"/>
    </row>
    <row r="56" spans="1:21" ht="20" customHeight="1" x14ac:dyDescent="0.25">
      <c r="A56" s="65" t="s">
        <v>137</v>
      </c>
      <c r="B56" s="65">
        <v>1</v>
      </c>
      <c r="C56" s="66">
        <f>B56*('Role-Salary Helper '!C13*'Role-Salary Helper '!C27*51)</f>
        <v>7956</v>
      </c>
      <c r="D56" s="70"/>
      <c r="E56" s="71" t="s">
        <v>210</v>
      </c>
      <c r="F56" s="100">
        <v>0.3</v>
      </c>
      <c r="G56" s="66">
        <f>F56*('Role-Salary Helper '!F17*51)</f>
        <v>2295</v>
      </c>
      <c r="H56" s="57"/>
      <c r="I56" s="94"/>
      <c r="M56" s="115"/>
      <c r="N56" s="70"/>
      <c r="O56" s="116"/>
      <c r="Q56" s="115"/>
      <c r="R56" s="70"/>
      <c r="S56" s="116"/>
      <c r="U56" s="83"/>
    </row>
    <row r="57" spans="1:21" ht="20" customHeight="1" x14ac:dyDescent="0.25">
      <c r="A57" s="65" t="s">
        <v>149</v>
      </c>
      <c r="B57" s="65">
        <v>1</v>
      </c>
      <c r="C57" s="66">
        <f>B57*('Role-Salary Helper '!C14*'Role-Salary Helper '!C27*51)</f>
        <v>6961.5</v>
      </c>
      <c r="D57" s="70"/>
      <c r="E57" s="131" t="s">
        <v>41</v>
      </c>
      <c r="F57" s="132">
        <v>2.5000000000000001E-2</v>
      </c>
      <c r="G57" s="66">
        <f>F57*('Role-Salary Helper '!F19*51)</f>
        <v>765</v>
      </c>
      <c r="H57" s="57"/>
      <c r="I57" s="94"/>
      <c r="M57" s="115"/>
      <c r="N57" s="70"/>
      <c r="O57" s="116"/>
      <c r="Q57" s="115"/>
      <c r="R57" s="70"/>
      <c r="S57" s="116"/>
      <c r="U57" s="83"/>
    </row>
    <row r="58" spans="1:21" ht="20" customHeight="1" x14ac:dyDescent="0.25">
      <c r="A58" s="65" t="s">
        <v>40</v>
      </c>
      <c r="B58" s="65">
        <v>1</v>
      </c>
      <c r="C58" s="66">
        <f>B58*('Role-Salary Helper '!C15*'Role-Salary Helper '!C27*51)</f>
        <v>6630</v>
      </c>
      <c r="D58" s="70"/>
      <c r="E58" s="130" t="s">
        <v>143</v>
      </c>
      <c r="F58" s="100">
        <v>0.5</v>
      </c>
      <c r="G58" s="66">
        <f>F58*('Role-Salary Helper '!F21*51)</f>
        <v>3825</v>
      </c>
      <c r="H58" s="57"/>
      <c r="I58" s="94"/>
      <c r="M58" s="115"/>
      <c r="N58" s="70"/>
      <c r="O58" s="116"/>
      <c r="Q58" s="115"/>
      <c r="R58" s="70"/>
      <c r="S58" s="116"/>
      <c r="U58" s="83"/>
    </row>
    <row r="59" spans="1:21" ht="20" customHeight="1" x14ac:dyDescent="0.25">
      <c r="A59" s="75" t="s">
        <v>218</v>
      </c>
      <c r="B59" s="75">
        <v>1</v>
      </c>
      <c r="C59" s="66">
        <f>B59*('Role-Salary Helper '!F27*51)</f>
        <v>17850</v>
      </c>
      <c r="D59" s="57"/>
      <c r="E59" s="99"/>
      <c r="F59" s="100"/>
      <c r="G59" s="66"/>
      <c r="H59" s="57"/>
      <c r="I59" s="94"/>
      <c r="M59" s="115"/>
      <c r="N59" s="70"/>
      <c r="O59" s="116"/>
      <c r="Q59" s="115"/>
      <c r="R59" s="70"/>
      <c r="S59" s="116"/>
      <c r="U59" s="83"/>
    </row>
    <row r="60" spans="1:21" ht="20" customHeight="1" x14ac:dyDescent="0.25">
      <c r="A60" s="75" t="s">
        <v>217</v>
      </c>
      <c r="B60" s="75">
        <v>0.3</v>
      </c>
      <c r="C60" s="66">
        <f>B60*('Role-Salary Helper '!F27*51)</f>
        <v>5355</v>
      </c>
      <c r="D60" s="67"/>
      <c r="E60" s="99"/>
      <c r="F60" s="100"/>
      <c r="G60" s="74"/>
      <c r="H60" s="57"/>
      <c r="I60" s="94"/>
      <c r="M60" s="115"/>
      <c r="N60" s="70"/>
      <c r="O60" s="116"/>
      <c r="Q60" s="115"/>
      <c r="R60" s="70"/>
      <c r="S60" s="116"/>
      <c r="U60" s="83"/>
    </row>
    <row r="61" spans="1:21" ht="20" customHeight="1" x14ac:dyDescent="0.25">
      <c r="A61" s="75" t="s">
        <v>235</v>
      </c>
      <c r="B61" s="75">
        <v>0.1</v>
      </c>
      <c r="C61" s="66">
        <f>B61*('Role-Salary Helper '!F27*51)</f>
        <v>1785</v>
      </c>
      <c r="D61" s="67"/>
      <c r="E61" s="99"/>
      <c r="F61" s="100"/>
      <c r="G61" s="128">
        <v>0</v>
      </c>
      <c r="H61" s="57"/>
      <c r="I61" s="94"/>
      <c r="M61" s="115"/>
      <c r="N61" s="70"/>
      <c r="O61" s="116"/>
      <c r="Q61" s="115"/>
      <c r="R61" s="70"/>
      <c r="S61" s="116"/>
      <c r="U61" s="83"/>
    </row>
    <row r="62" spans="1:21" ht="20" customHeight="1" x14ac:dyDescent="0.25">
      <c r="A62" s="99"/>
      <c r="B62" s="129"/>
      <c r="C62" s="128">
        <v>0</v>
      </c>
      <c r="D62" s="67"/>
      <c r="E62" s="99"/>
      <c r="F62" s="100"/>
      <c r="G62" s="128">
        <v>0</v>
      </c>
      <c r="H62" s="57"/>
      <c r="I62" s="57"/>
      <c r="M62" s="115"/>
      <c r="N62" s="70"/>
      <c r="O62" s="116"/>
      <c r="Q62" s="115"/>
      <c r="R62" s="70"/>
      <c r="S62" s="116"/>
      <c r="U62" s="83"/>
    </row>
    <row r="63" spans="1:21" x14ac:dyDescent="0.25">
      <c r="A63" s="133" t="s">
        <v>146</v>
      </c>
      <c r="B63" s="134">
        <f>SUM(B55:B62)</f>
        <v>5.3999999999999995</v>
      </c>
      <c r="C63" s="135">
        <f>SUM(C55:C62)</f>
        <v>51382.5</v>
      </c>
      <c r="D63" s="57"/>
      <c r="E63" s="133" t="s">
        <v>146</v>
      </c>
      <c r="F63" s="134">
        <f>SUM(F55:F62)</f>
        <v>1.125</v>
      </c>
      <c r="G63" s="104">
        <f>SUM(G55:G62)</f>
        <v>12240</v>
      </c>
      <c r="H63" s="57"/>
      <c r="I63" s="57"/>
      <c r="M63" s="115"/>
      <c r="N63" s="70"/>
      <c r="O63" s="116"/>
      <c r="Q63" s="115"/>
      <c r="R63" s="70"/>
      <c r="S63" s="116"/>
      <c r="U63" s="83"/>
    </row>
    <row r="64" spans="1:21" x14ac:dyDescent="0.25">
      <c r="A64" s="110"/>
      <c r="B64" s="70"/>
      <c r="C64" s="136"/>
      <c r="D64" s="57"/>
      <c r="E64" s="110"/>
      <c r="F64" s="70"/>
      <c r="G64" s="136"/>
      <c r="H64" s="57"/>
      <c r="I64" s="83"/>
      <c r="M64" s="115"/>
      <c r="N64" s="70"/>
      <c r="O64" s="116"/>
      <c r="Q64" s="115"/>
      <c r="R64" s="70"/>
      <c r="S64" s="116"/>
      <c r="U64" s="83"/>
    </row>
    <row r="65" spans="1:21" x14ac:dyDescent="0.25">
      <c r="A65" s="110"/>
      <c r="B65" s="70"/>
      <c r="C65" s="61" t="s">
        <v>148</v>
      </c>
      <c r="D65" s="57"/>
      <c r="E65" s="110"/>
      <c r="F65" s="70"/>
      <c r="G65" s="136"/>
      <c r="H65" s="57"/>
      <c r="I65" s="61" t="s">
        <v>181</v>
      </c>
      <c r="M65" s="115"/>
      <c r="N65" s="70"/>
      <c r="O65" s="116"/>
      <c r="Q65" s="115"/>
      <c r="R65" s="70"/>
      <c r="S65" s="116"/>
      <c r="U65" s="83"/>
    </row>
    <row r="66" spans="1:21" x14ac:dyDescent="0.25">
      <c r="A66" s="110"/>
      <c r="B66" s="70"/>
      <c r="C66" s="117">
        <f>SUM(C63,G63)</f>
        <v>63622.5</v>
      </c>
      <c r="D66" s="57"/>
      <c r="E66" s="110"/>
      <c r="F66" s="70"/>
      <c r="G66" s="136"/>
      <c r="H66" s="57"/>
      <c r="I66" s="137">
        <f>SUM(I49,C66)</f>
        <v>241740</v>
      </c>
      <c r="M66" s="115"/>
      <c r="N66" s="70"/>
      <c r="O66" s="116"/>
      <c r="Q66" s="115"/>
      <c r="R66" s="70"/>
      <c r="S66" s="116"/>
      <c r="U66" s="83"/>
    </row>
    <row r="67" spans="1:21" x14ac:dyDescent="0.25">
      <c r="A67" s="115"/>
      <c r="B67" s="70"/>
      <c r="C67" s="116"/>
      <c r="E67" s="115"/>
      <c r="F67" s="70"/>
      <c r="G67" s="116"/>
      <c r="I67" s="83"/>
      <c r="M67" s="115"/>
      <c r="N67" s="70"/>
      <c r="O67" s="116"/>
      <c r="Q67" s="115"/>
      <c r="R67" s="70"/>
      <c r="S67" s="116"/>
      <c r="U67" s="83"/>
    </row>
    <row r="68" spans="1:21" x14ac:dyDescent="0.25">
      <c r="A68" s="115"/>
      <c r="B68" s="70"/>
      <c r="C68" s="116"/>
      <c r="E68" s="115"/>
      <c r="F68" s="70"/>
      <c r="G68" s="116"/>
      <c r="I68" s="83"/>
      <c r="M68" s="115"/>
      <c r="N68" s="70"/>
      <c r="O68" s="116"/>
      <c r="Q68" s="115"/>
      <c r="R68" s="70"/>
      <c r="S68" s="116"/>
      <c r="U68" s="83"/>
    </row>
    <row r="69" spans="1:21" x14ac:dyDescent="0.25">
      <c r="A69" s="115"/>
      <c r="B69" s="70"/>
      <c r="C69" s="63" t="s">
        <v>182</v>
      </c>
      <c r="E69" s="115"/>
      <c r="F69" s="70"/>
      <c r="G69" s="116"/>
      <c r="I69" s="83"/>
      <c r="M69" s="115"/>
      <c r="N69" s="70"/>
      <c r="O69" s="116"/>
      <c r="Q69" s="115"/>
      <c r="R69" s="70"/>
      <c r="S69" s="116"/>
      <c r="U69" s="83"/>
    </row>
    <row r="70" spans="1:21" x14ac:dyDescent="0.25">
      <c r="A70" s="115"/>
      <c r="B70" s="70"/>
      <c r="C70" s="82">
        <f>SUM(I66)</f>
        <v>241740</v>
      </c>
      <c r="E70" s="115"/>
      <c r="F70" s="70"/>
      <c r="G70" s="116"/>
      <c r="I70" s="83"/>
      <c r="M70" s="115"/>
      <c r="N70" s="70"/>
      <c r="O70" s="116"/>
      <c r="Q70" s="115"/>
      <c r="R70" s="70"/>
      <c r="S70" s="116"/>
      <c r="U70" s="83"/>
    </row>
    <row r="71" spans="1:21" ht="11" customHeight="1" x14ac:dyDescent="0.25">
      <c r="A71" s="115"/>
      <c r="B71" s="70"/>
      <c r="C71" s="83"/>
      <c r="E71" s="115"/>
      <c r="F71" s="70"/>
      <c r="G71" s="116"/>
      <c r="I71" s="83"/>
      <c r="M71" s="115"/>
      <c r="N71" s="70"/>
      <c r="O71" s="116"/>
      <c r="Q71" s="115"/>
      <c r="R71" s="70"/>
      <c r="S71" s="116"/>
      <c r="U71" s="83"/>
    </row>
    <row r="72" spans="1:21" ht="67" customHeight="1" x14ac:dyDescent="0.4">
      <c r="A72" s="147"/>
      <c r="B72" s="148" t="s">
        <v>193</v>
      </c>
      <c r="C72" s="146"/>
      <c r="E72" s="147"/>
      <c r="F72" s="147"/>
      <c r="G72" s="146"/>
      <c r="H72" s="147"/>
      <c r="I72" s="147"/>
      <c r="J72" s="147"/>
      <c r="K72" s="147"/>
      <c r="L72" s="147"/>
      <c r="M72" s="147"/>
      <c r="U72" s="69"/>
    </row>
    <row r="74" spans="1:21" ht="20" customHeight="1" x14ac:dyDescent="0.25">
      <c r="A74" s="56" t="s">
        <v>203</v>
      </c>
      <c r="B74" s="57"/>
      <c r="C74" s="110" t="s">
        <v>192</v>
      </c>
      <c r="D74" s="56"/>
      <c r="E74" s="56" t="s">
        <v>204</v>
      </c>
      <c r="F74" s="56"/>
      <c r="G74" s="110" t="s">
        <v>192</v>
      </c>
      <c r="H74" s="57"/>
      <c r="I74" s="57"/>
      <c r="M74" s="115"/>
      <c r="N74" s="70"/>
      <c r="O74" s="116"/>
      <c r="Q74" s="115"/>
      <c r="R74" s="70"/>
      <c r="S74" s="116"/>
      <c r="U74" s="83"/>
    </row>
    <row r="75" spans="1:21" ht="20" customHeight="1" x14ac:dyDescent="0.25">
      <c r="A75" s="61" t="s">
        <v>9</v>
      </c>
      <c r="B75" s="91" t="s">
        <v>147</v>
      </c>
      <c r="C75" s="90" t="s">
        <v>112</v>
      </c>
      <c r="D75" s="56"/>
      <c r="E75" s="61" t="s">
        <v>9</v>
      </c>
      <c r="F75" s="91" t="s">
        <v>10</v>
      </c>
      <c r="G75" s="92" t="s">
        <v>112</v>
      </c>
      <c r="H75" s="57"/>
      <c r="I75" s="56"/>
      <c r="M75" s="115"/>
      <c r="N75" s="70"/>
      <c r="O75" s="116"/>
      <c r="Q75" s="115"/>
      <c r="R75" s="70"/>
      <c r="S75" s="116"/>
      <c r="U75" s="83"/>
    </row>
    <row r="76" spans="1:21" ht="20" customHeight="1" x14ac:dyDescent="0.25">
      <c r="A76" s="65" t="s">
        <v>139</v>
      </c>
      <c r="B76" s="65">
        <v>1</v>
      </c>
      <c r="C76" s="66">
        <f>B76*('Role-Salary Helper '!C12*'Role-Salary Helper '!C28*51)</f>
        <v>4845</v>
      </c>
      <c r="D76" s="67"/>
      <c r="E76" s="71" t="s">
        <v>210</v>
      </c>
      <c r="F76" s="100">
        <v>0.5</v>
      </c>
      <c r="G76" s="66">
        <f>F76*('Role-Salary Helper '!F17*51)</f>
        <v>3825</v>
      </c>
      <c r="H76" s="57"/>
      <c r="I76" s="94"/>
      <c r="M76" s="115"/>
      <c r="N76" s="70"/>
      <c r="O76" s="116"/>
      <c r="Q76" s="115"/>
      <c r="R76" s="70"/>
      <c r="S76" s="116"/>
      <c r="U76" s="83"/>
    </row>
    <row r="77" spans="1:21" ht="20" customHeight="1" x14ac:dyDescent="0.25">
      <c r="A77" s="65" t="s">
        <v>137</v>
      </c>
      <c r="B77" s="65">
        <v>1</v>
      </c>
      <c r="C77" s="66">
        <f>B77*('Role-Salary Helper '!C13*'Role-Salary Helper '!C27*51)</f>
        <v>7956</v>
      </c>
      <c r="D77" s="70"/>
      <c r="E77" s="131" t="s">
        <v>41</v>
      </c>
      <c r="F77" s="132">
        <v>0.05</v>
      </c>
      <c r="G77" s="66">
        <f>F77*('Role-Salary Helper '!F19*51)</f>
        <v>1530</v>
      </c>
      <c r="H77" s="57"/>
      <c r="I77" s="94"/>
      <c r="M77" s="115"/>
      <c r="N77" s="70"/>
      <c r="O77" s="116"/>
      <c r="Q77" s="115"/>
      <c r="R77" s="70"/>
      <c r="S77" s="116"/>
      <c r="U77" s="83"/>
    </row>
    <row r="78" spans="1:21" ht="20" customHeight="1" x14ac:dyDescent="0.25">
      <c r="A78" s="65" t="s">
        <v>149</v>
      </c>
      <c r="B78" s="65">
        <v>1</v>
      </c>
      <c r="C78" s="66">
        <f>B78*('Role-Salary Helper '!C14*'Role-Salary Helper '!C27*51)</f>
        <v>6961.5</v>
      </c>
      <c r="D78" s="70"/>
      <c r="E78" s="99"/>
      <c r="F78" s="100"/>
      <c r="G78" s="128">
        <v>0</v>
      </c>
      <c r="H78" s="57"/>
      <c r="I78" s="94"/>
      <c r="M78" s="115"/>
      <c r="N78" s="70"/>
      <c r="O78" s="116"/>
      <c r="Q78" s="115"/>
      <c r="R78" s="70"/>
      <c r="S78" s="116"/>
      <c r="U78" s="83"/>
    </row>
    <row r="79" spans="1:21" ht="20" customHeight="1" x14ac:dyDescent="0.25">
      <c r="A79" s="65" t="s">
        <v>40</v>
      </c>
      <c r="B79" s="65">
        <v>1</v>
      </c>
      <c r="C79" s="66">
        <f>B79*('Role-Salary Helper '!C15*'Role-Salary Helper '!C27*51)</f>
        <v>6630</v>
      </c>
      <c r="D79" s="70"/>
      <c r="E79" s="99"/>
      <c r="F79" s="100"/>
      <c r="G79" s="128">
        <v>0</v>
      </c>
      <c r="H79" s="57"/>
      <c r="I79" s="94"/>
      <c r="M79" s="115"/>
      <c r="N79" s="70"/>
      <c r="O79" s="116"/>
      <c r="Q79" s="115"/>
      <c r="R79" s="70"/>
      <c r="S79" s="116"/>
      <c r="U79" s="83"/>
    </row>
    <row r="80" spans="1:21" ht="20" customHeight="1" x14ac:dyDescent="0.25">
      <c r="A80" s="130" t="s">
        <v>143</v>
      </c>
      <c r="B80" s="100">
        <v>1</v>
      </c>
      <c r="C80" s="66">
        <f>B80*('Role-Salary Helper '!C16*'Role-Salary Helper '!C27*51)</f>
        <v>7293</v>
      </c>
      <c r="D80" s="57"/>
      <c r="E80" s="99"/>
      <c r="F80" s="100"/>
      <c r="G80" s="128">
        <v>0</v>
      </c>
      <c r="H80" s="57"/>
      <c r="I80" s="94"/>
      <c r="M80" s="115"/>
      <c r="N80" s="70"/>
      <c r="O80" s="116"/>
      <c r="Q80" s="115"/>
      <c r="R80" s="70"/>
      <c r="S80" s="116"/>
      <c r="U80" s="83"/>
    </row>
    <row r="81" spans="1:21" ht="20" customHeight="1" x14ac:dyDescent="0.25">
      <c r="A81" s="99" t="s">
        <v>195</v>
      </c>
      <c r="B81" s="129">
        <v>1</v>
      </c>
      <c r="C81" s="128">
        <f>B81*('Role-Salary Helper '!C18*51)</f>
        <v>9180</v>
      </c>
      <c r="D81" s="67"/>
      <c r="E81" s="99"/>
      <c r="F81" s="100"/>
      <c r="G81" s="128">
        <v>0</v>
      </c>
      <c r="H81" s="57"/>
      <c r="I81" s="94"/>
      <c r="M81" s="115"/>
      <c r="N81" s="70"/>
      <c r="O81" s="116"/>
      <c r="Q81" s="115"/>
      <c r="R81" s="70"/>
      <c r="S81" s="116"/>
      <c r="U81" s="83"/>
    </row>
    <row r="82" spans="1:21" ht="20" customHeight="1" x14ac:dyDescent="0.25">
      <c r="A82" s="75" t="s">
        <v>218</v>
      </c>
      <c r="B82" s="75">
        <v>1</v>
      </c>
      <c r="C82" s="66">
        <f>B82*('Role-Salary Helper '!F27*51)</f>
        <v>17850</v>
      </c>
      <c r="D82" s="67"/>
      <c r="E82" s="99"/>
      <c r="F82" s="100"/>
      <c r="G82" s="128">
        <v>0</v>
      </c>
      <c r="H82" s="57"/>
      <c r="I82" s="94"/>
      <c r="M82" s="115"/>
      <c r="N82" s="70"/>
      <c r="O82" s="116"/>
      <c r="Q82" s="115"/>
      <c r="R82" s="70"/>
      <c r="S82" s="116"/>
      <c r="U82" s="83"/>
    </row>
    <row r="83" spans="1:21" ht="20" customHeight="1" x14ac:dyDescent="0.25">
      <c r="A83" s="75" t="s">
        <v>217</v>
      </c>
      <c r="B83" s="75">
        <v>1</v>
      </c>
      <c r="C83" s="66">
        <f>B83*('Role-Salary Helper '!F27*51)</f>
        <v>17850</v>
      </c>
      <c r="D83" s="67"/>
      <c r="E83" s="99"/>
      <c r="F83" s="100"/>
      <c r="G83" s="128">
        <v>0</v>
      </c>
      <c r="H83" s="57"/>
      <c r="I83" s="57"/>
      <c r="M83" s="115"/>
      <c r="N83" s="70"/>
      <c r="O83" s="116"/>
      <c r="Q83" s="115"/>
      <c r="R83" s="70"/>
      <c r="S83" s="116"/>
      <c r="U83" s="83"/>
    </row>
    <row r="84" spans="1:21" x14ac:dyDescent="0.25">
      <c r="A84" s="75" t="s">
        <v>216</v>
      </c>
      <c r="B84" s="75">
        <v>0.1</v>
      </c>
      <c r="C84" s="66">
        <f>B84*('Role-Salary Helper '!F27*51)</f>
        <v>1785</v>
      </c>
      <c r="D84" s="57"/>
      <c r="E84" s="99"/>
      <c r="F84" s="100"/>
      <c r="G84" s="128">
        <v>0</v>
      </c>
      <c r="H84" s="57"/>
      <c r="I84" s="57"/>
      <c r="M84" s="115"/>
      <c r="N84" s="70"/>
      <c r="O84" s="116"/>
      <c r="Q84" s="115"/>
      <c r="R84" s="70"/>
      <c r="S84" s="116"/>
      <c r="U84" s="83"/>
    </row>
    <row r="85" spans="1:21" x14ac:dyDescent="0.25">
      <c r="A85" s="133" t="s">
        <v>146</v>
      </c>
      <c r="B85" s="134">
        <f>SUM(B76:B84)</f>
        <v>8.1</v>
      </c>
      <c r="C85" s="104">
        <f>SUM(C76:C84)</f>
        <v>80350.5</v>
      </c>
      <c r="D85" s="57"/>
      <c r="E85" s="133" t="s">
        <v>146</v>
      </c>
      <c r="F85" s="134">
        <f>SUM(F76:F84)</f>
        <v>0.55000000000000004</v>
      </c>
      <c r="G85" s="104">
        <f>SUM(G76:G84)</f>
        <v>5355</v>
      </c>
      <c r="H85" s="57"/>
      <c r="I85" s="83"/>
      <c r="M85" s="115"/>
      <c r="N85" s="70"/>
      <c r="O85" s="116"/>
      <c r="Q85" s="115"/>
      <c r="R85" s="70"/>
      <c r="S85" s="116"/>
      <c r="U85" s="83"/>
    </row>
    <row r="86" spans="1:21" x14ac:dyDescent="0.25">
      <c r="A86" s="110"/>
      <c r="B86" s="70"/>
      <c r="C86" s="136"/>
      <c r="D86" s="57"/>
      <c r="E86" s="110"/>
      <c r="F86" s="70"/>
      <c r="G86" s="136"/>
      <c r="H86" s="57"/>
      <c r="M86" s="115"/>
      <c r="N86" s="70"/>
      <c r="O86" s="116"/>
      <c r="Q86" s="115"/>
      <c r="R86" s="70"/>
      <c r="S86" s="116"/>
      <c r="U86" s="83"/>
    </row>
    <row r="87" spans="1:21" x14ac:dyDescent="0.25">
      <c r="A87" s="110"/>
      <c r="B87" s="70"/>
      <c r="C87" s="61" t="s">
        <v>148</v>
      </c>
      <c r="D87" s="57"/>
      <c r="E87" s="110"/>
      <c r="F87" s="70"/>
      <c r="G87" s="136"/>
      <c r="H87" s="57"/>
      <c r="I87" s="61" t="s">
        <v>198</v>
      </c>
      <c r="M87" s="115"/>
      <c r="N87" s="70"/>
      <c r="O87" s="116"/>
      <c r="Q87" s="115"/>
      <c r="R87" s="70"/>
      <c r="S87" s="116"/>
      <c r="U87" s="83"/>
    </row>
    <row r="88" spans="1:21" x14ac:dyDescent="0.25">
      <c r="A88" s="110"/>
      <c r="B88" s="70"/>
      <c r="C88" s="117">
        <f>SUM(C85,G85)</f>
        <v>85705.5</v>
      </c>
      <c r="E88" s="110"/>
      <c r="F88" s="70"/>
      <c r="G88" s="136"/>
      <c r="I88" s="137">
        <f>SUM(I69,C88)</f>
        <v>85705.5</v>
      </c>
    </row>
    <row r="90" spans="1:21" x14ac:dyDescent="0.25">
      <c r="C90" s="110"/>
    </row>
    <row r="91" spans="1:21" x14ac:dyDescent="0.25">
      <c r="C91" s="83"/>
    </row>
    <row r="92" spans="1:21" x14ac:dyDescent="0.25">
      <c r="A92" s="56" t="s">
        <v>201</v>
      </c>
      <c r="B92" s="57"/>
      <c r="C92" s="110" t="s">
        <v>196</v>
      </c>
      <c r="D92" s="56"/>
      <c r="E92" s="56" t="s">
        <v>202</v>
      </c>
      <c r="F92" s="56"/>
      <c r="G92" s="110" t="s">
        <v>196</v>
      </c>
      <c r="H92" s="57"/>
      <c r="I92" s="57"/>
    </row>
    <row r="93" spans="1:21" x14ac:dyDescent="0.25">
      <c r="A93" s="61" t="s">
        <v>9</v>
      </c>
      <c r="B93" s="91" t="s">
        <v>147</v>
      </c>
      <c r="C93" s="90" t="s">
        <v>112</v>
      </c>
      <c r="D93" s="56"/>
      <c r="E93" s="61" t="s">
        <v>9</v>
      </c>
      <c r="F93" s="91" t="s">
        <v>10</v>
      </c>
      <c r="G93" s="92" t="s">
        <v>112</v>
      </c>
      <c r="H93" s="57"/>
      <c r="I93" s="56"/>
      <c r="K93" s="57"/>
      <c r="M93" s="56"/>
      <c r="N93" s="57"/>
      <c r="O93" s="58"/>
      <c r="P93" s="56"/>
      <c r="Q93" s="56"/>
      <c r="R93" s="56"/>
    </row>
    <row r="94" spans="1:21" x14ac:dyDescent="0.25">
      <c r="A94" s="65" t="s">
        <v>139</v>
      </c>
      <c r="B94" s="65">
        <v>1</v>
      </c>
      <c r="C94" s="66">
        <f>B94*('Role-Salary Helper '!C12*'Role-Salary Helper '!C28*51)</f>
        <v>4845</v>
      </c>
      <c r="D94" s="67"/>
      <c r="E94" s="71" t="s">
        <v>210</v>
      </c>
      <c r="F94" s="100">
        <v>0.5</v>
      </c>
      <c r="G94" s="66">
        <f>F94*('Role-Salary Helper '!F17*51)</f>
        <v>3825</v>
      </c>
      <c r="H94" s="57"/>
      <c r="I94" s="94"/>
      <c r="K94" s="57"/>
      <c r="M94" s="56"/>
      <c r="N94" s="56"/>
      <c r="O94" s="118"/>
      <c r="P94" s="56"/>
      <c r="Q94" s="56"/>
      <c r="R94" s="56"/>
      <c r="S94" s="110"/>
      <c r="U94" s="56"/>
    </row>
    <row r="95" spans="1:21" x14ac:dyDescent="0.25">
      <c r="A95" s="65" t="s">
        <v>137</v>
      </c>
      <c r="B95" s="65">
        <v>1</v>
      </c>
      <c r="C95" s="66">
        <f>B95*('Role-Salary Helper '!C13*'Role-Salary Helper '!C27*51)</f>
        <v>7956</v>
      </c>
      <c r="D95" s="70"/>
      <c r="E95" s="131" t="s">
        <v>41</v>
      </c>
      <c r="F95" s="132">
        <v>0.05</v>
      </c>
      <c r="G95" s="66">
        <f>F95*('Role-Salary Helper '!F19*51)</f>
        <v>1530</v>
      </c>
      <c r="H95" s="57"/>
      <c r="I95" s="94"/>
      <c r="K95" s="57"/>
      <c r="M95" s="70"/>
      <c r="N95" s="70"/>
      <c r="O95" s="119"/>
      <c r="P95" s="67"/>
      <c r="Q95" s="67"/>
      <c r="R95" s="67"/>
      <c r="S95" s="119"/>
      <c r="U95" s="69"/>
    </row>
    <row r="96" spans="1:21" x14ac:dyDescent="0.25">
      <c r="A96" s="65" t="s">
        <v>149</v>
      </c>
      <c r="B96" s="65">
        <v>1</v>
      </c>
      <c r="C96" s="66">
        <f>B96*('Role-Salary Helper '!C14*'Role-Salary Helper '!C27*51)</f>
        <v>6961.5</v>
      </c>
      <c r="D96" s="70"/>
      <c r="E96" s="99"/>
      <c r="F96" s="100"/>
      <c r="G96" s="128">
        <v>0</v>
      </c>
      <c r="H96" s="57"/>
      <c r="I96" s="94"/>
      <c r="K96" s="57"/>
      <c r="M96" s="70"/>
      <c r="N96" s="70"/>
      <c r="O96" s="119"/>
      <c r="P96" s="70"/>
      <c r="Q96" s="67"/>
      <c r="R96" s="67"/>
      <c r="S96" s="119"/>
      <c r="U96" s="69"/>
    </row>
    <row r="97" spans="1:21" x14ac:dyDescent="0.25">
      <c r="A97" s="65" t="s">
        <v>40</v>
      </c>
      <c r="B97" s="65">
        <v>1</v>
      </c>
      <c r="C97" s="66">
        <f>B97*('Role-Salary Helper '!C15*'Role-Salary Helper '!C27*51)</f>
        <v>6630</v>
      </c>
      <c r="D97" s="70"/>
      <c r="E97" s="99"/>
      <c r="F97" s="100"/>
      <c r="G97" s="128">
        <v>0</v>
      </c>
      <c r="H97" s="57"/>
      <c r="I97" s="94"/>
      <c r="K97" s="57"/>
      <c r="M97" s="70"/>
      <c r="N97" s="70"/>
      <c r="O97" s="119"/>
      <c r="P97" s="70"/>
      <c r="Q97" s="121"/>
      <c r="R97" s="70"/>
      <c r="S97" s="119"/>
      <c r="U97" s="69"/>
    </row>
    <row r="98" spans="1:21" x14ac:dyDescent="0.25">
      <c r="A98" s="130" t="s">
        <v>143</v>
      </c>
      <c r="B98" s="100">
        <v>1</v>
      </c>
      <c r="C98" s="66">
        <f>B98*('Role-Salary Helper '!C16*'Role-Salary Helper '!C27*51)</f>
        <v>7293</v>
      </c>
      <c r="D98" s="57"/>
      <c r="E98" s="99"/>
      <c r="F98" s="100"/>
      <c r="G98" s="128">
        <v>0</v>
      </c>
      <c r="H98" s="57"/>
      <c r="I98" s="94"/>
      <c r="K98" s="57"/>
      <c r="M98" s="121"/>
      <c r="N98" s="70"/>
      <c r="O98" s="119"/>
      <c r="P98" s="70"/>
      <c r="Q98" s="122"/>
      <c r="R98" s="123"/>
      <c r="S98" s="124"/>
      <c r="U98" s="69"/>
    </row>
    <row r="99" spans="1:21" x14ac:dyDescent="0.25">
      <c r="A99" s="99" t="s">
        <v>195</v>
      </c>
      <c r="B99" s="129">
        <v>1</v>
      </c>
      <c r="C99" s="128">
        <f>B99*('Role-Salary Helper '!C18*51)</f>
        <v>9180</v>
      </c>
      <c r="D99" s="67"/>
      <c r="E99" s="99"/>
      <c r="F99" s="100"/>
      <c r="G99" s="128">
        <v>0</v>
      </c>
      <c r="H99" s="57"/>
      <c r="I99" s="94"/>
      <c r="K99" s="57"/>
      <c r="M99" s="70"/>
      <c r="N99" s="70"/>
      <c r="O99" s="119"/>
      <c r="Q99" s="144"/>
      <c r="R99" s="145"/>
      <c r="S99" s="119"/>
      <c r="T99" s="96"/>
      <c r="U99" s="69"/>
    </row>
    <row r="100" spans="1:21" x14ac:dyDescent="0.25">
      <c r="A100" s="75" t="s">
        <v>218</v>
      </c>
      <c r="B100" s="75">
        <v>1</v>
      </c>
      <c r="C100" s="66">
        <f>B100*('Role-Salary Helper '!F27*51)</f>
        <v>17850</v>
      </c>
      <c r="D100" s="67"/>
      <c r="E100" s="99"/>
      <c r="F100" s="100"/>
      <c r="G100" s="128">
        <v>0</v>
      </c>
      <c r="H100" s="57"/>
      <c r="I100" s="94"/>
      <c r="K100" s="57"/>
      <c r="M100" s="70"/>
      <c r="N100" s="70"/>
      <c r="O100" s="119"/>
      <c r="P100" s="67"/>
      <c r="Q100" s="67"/>
      <c r="R100" s="70"/>
      <c r="S100" s="119"/>
      <c r="U100" s="69"/>
    </row>
    <row r="101" spans="1:21" x14ac:dyDescent="0.25">
      <c r="A101" s="75" t="s">
        <v>217</v>
      </c>
      <c r="B101" s="75">
        <v>1</v>
      </c>
      <c r="C101" s="66">
        <f>B101*('Role-Salary Helper '!F27*51)</f>
        <v>17850</v>
      </c>
      <c r="D101" s="67"/>
      <c r="E101" s="99"/>
      <c r="F101" s="100"/>
      <c r="G101" s="128">
        <v>0</v>
      </c>
      <c r="H101" s="57"/>
      <c r="I101" s="57"/>
      <c r="K101" s="57"/>
      <c r="M101" s="70"/>
      <c r="N101" s="70"/>
      <c r="O101" s="120"/>
      <c r="P101" s="67"/>
      <c r="Q101" s="67"/>
      <c r="R101" s="70"/>
      <c r="S101" s="119"/>
      <c r="U101" s="69"/>
    </row>
    <row r="102" spans="1:21" x14ac:dyDescent="0.25">
      <c r="A102" s="75" t="s">
        <v>216</v>
      </c>
      <c r="B102" s="75">
        <v>0.1</v>
      </c>
      <c r="C102" s="66">
        <f>B102*('Role-Salary Helper '!F27*51)</f>
        <v>1785</v>
      </c>
      <c r="D102" s="57"/>
      <c r="E102" s="99"/>
      <c r="F102" s="100"/>
      <c r="G102" s="128">
        <v>0</v>
      </c>
      <c r="H102" s="57"/>
      <c r="I102" s="57"/>
      <c r="K102" s="57"/>
      <c r="M102" s="125"/>
      <c r="N102" s="125"/>
      <c r="O102" s="119"/>
      <c r="P102" s="67"/>
      <c r="Q102" s="67"/>
      <c r="R102" s="70"/>
      <c r="S102" s="119"/>
      <c r="U102" s="56"/>
    </row>
    <row r="103" spans="1:21" x14ac:dyDescent="0.25">
      <c r="A103" s="133" t="s">
        <v>146</v>
      </c>
      <c r="B103" s="134">
        <f>SUM(B94:B102)</f>
        <v>8.1</v>
      </c>
      <c r="C103" s="135">
        <f>SUM(C94:C102)</f>
        <v>80350.5</v>
      </c>
      <c r="D103" s="57"/>
      <c r="E103" s="133" t="s">
        <v>146</v>
      </c>
      <c r="F103" s="134">
        <f>SUM(F94:F102)</f>
        <v>0.55000000000000004</v>
      </c>
      <c r="G103" s="104">
        <f>SUM(G94:G102)</f>
        <v>5355</v>
      </c>
      <c r="H103" s="57"/>
      <c r="I103" s="83"/>
      <c r="K103" s="57"/>
      <c r="M103" s="115"/>
      <c r="N103" s="70"/>
      <c r="O103" s="116"/>
      <c r="P103" s="67"/>
      <c r="Q103" s="115"/>
      <c r="R103" s="70"/>
      <c r="S103" s="116"/>
      <c r="U103" s="83"/>
    </row>
    <row r="104" spans="1:21" x14ac:dyDescent="0.25">
      <c r="C104" s="59"/>
      <c r="D104" s="57"/>
      <c r="G104" s="59"/>
      <c r="H104" s="57"/>
    </row>
    <row r="105" spans="1:21" x14ac:dyDescent="0.25">
      <c r="A105" s="110"/>
      <c r="B105" s="70"/>
      <c r="C105" s="136"/>
      <c r="D105" s="57"/>
      <c r="E105" s="110"/>
      <c r="F105" s="70"/>
      <c r="G105" s="136"/>
      <c r="H105" s="57"/>
    </row>
    <row r="106" spans="1:21" x14ac:dyDescent="0.25">
      <c r="A106" s="110"/>
      <c r="B106" s="70"/>
      <c r="C106" s="61" t="s">
        <v>148</v>
      </c>
      <c r="E106" s="110"/>
      <c r="F106" s="70"/>
      <c r="G106" s="136"/>
      <c r="I106" s="61" t="s">
        <v>198</v>
      </c>
    </row>
    <row r="107" spans="1:21" x14ac:dyDescent="0.25">
      <c r="A107" s="110"/>
      <c r="B107" s="70"/>
      <c r="C107" s="117">
        <f>SUM(C103,G103)</f>
        <v>85705.5</v>
      </c>
      <c r="E107" s="110"/>
      <c r="F107" s="70"/>
      <c r="G107" s="136"/>
      <c r="I107" s="137">
        <f>SUM(I88,C107)</f>
        <v>171411</v>
      </c>
    </row>
    <row r="109" spans="1:21" x14ac:dyDescent="0.25">
      <c r="D109" s="56"/>
      <c r="H109" s="57"/>
      <c r="I109" s="57"/>
    </row>
    <row r="110" spans="1:21" x14ac:dyDescent="0.25">
      <c r="D110" s="56"/>
      <c r="H110" s="57"/>
      <c r="I110" s="56"/>
      <c r="K110" s="57"/>
      <c r="M110" s="56"/>
      <c r="N110" s="57"/>
      <c r="O110" s="58"/>
      <c r="P110" s="56"/>
      <c r="Q110" s="56"/>
      <c r="R110" s="56"/>
    </row>
    <row r="111" spans="1:21" x14ac:dyDescent="0.25">
      <c r="A111" s="56" t="s">
        <v>214</v>
      </c>
      <c r="B111" s="57"/>
      <c r="C111" s="110" t="s">
        <v>196</v>
      </c>
      <c r="D111" s="67"/>
      <c r="E111" s="56" t="s">
        <v>205</v>
      </c>
      <c r="F111" s="56"/>
      <c r="G111" s="110" t="s">
        <v>196</v>
      </c>
      <c r="H111" s="57"/>
      <c r="I111" s="94"/>
      <c r="K111" s="57"/>
      <c r="M111" s="56"/>
      <c r="N111" s="56"/>
      <c r="O111" s="118"/>
      <c r="P111" s="56"/>
      <c r="Q111" s="56"/>
      <c r="R111" s="56"/>
      <c r="S111" s="110"/>
      <c r="U111" s="56"/>
    </row>
    <row r="112" spans="1:21" x14ac:dyDescent="0.25">
      <c r="A112" s="61" t="s">
        <v>9</v>
      </c>
      <c r="B112" s="91" t="s">
        <v>147</v>
      </c>
      <c r="C112" s="90" t="s">
        <v>112</v>
      </c>
      <c r="D112" s="70"/>
      <c r="E112" s="61" t="s">
        <v>9</v>
      </c>
      <c r="F112" s="91" t="s">
        <v>10</v>
      </c>
      <c r="G112" s="92" t="s">
        <v>112</v>
      </c>
      <c r="H112" s="57"/>
      <c r="I112" s="94"/>
      <c r="K112" s="57"/>
      <c r="M112" s="70"/>
      <c r="N112" s="70"/>
      <c r="O112" s="119"/>
      <c r="P112" s="67"/>
      <c r="Q112" s="67"/>
      <c r="R112" s="67"/>
      <c r="S112" s="119"/>
      <c r="U112" s="69"/>
    </row>
    <row r="113" spans="1:21" x14ac:dyDescent="0.25">
      <c r="A113" s="65" t="s">
        <v>139</v>
      </c>
      <c r="B113" s="65">
        <v>1</v>
      </c>
      <c r="C113" s="66">
        <f>B113*('Role-Salary Helper '!C12*'Role-Salary Helper '!C28*51)</f>
        <v>4845</v>
      </c>
      <c r="D113" s="70"/>
      <c r="E113" s="71" t="s">
        <v>210</v>
      </c>
      <c r="F113" s="100">
        <v>0.5</v>
      </c>
      <c r="G113" s="66">
        <f>F113*('Role-Salary Helper '!F17*51)</f>
        <v>3825</v>
      </c>
      <c r="H113" s="57"/>
      <c r="I113" s="94"/>
      <c r="K113" s="57"/>
      <c r="M113" s="70"/>
      <c r="N113" s="70"/>
      <c r="O113" s="119"/>
      <c r="P113" s="70"/>
      <c r="Q113" s="67"/>
      <c r="R113" s="67"/>
      <c r="S113" s="119"/>
      <c r="U113" s="69"/>
    </row>
    <row r="114" spans="1:21" x14ac:dyDescent="0.25">
      <c r="A114" s="65" t="s">
        <v>137</v>
      </c>
      <c r="B114" s="65">
        <v>1</v>
      </c>
      <c r="C114" s="66">
        <f>B114*('Role-Salary Helper '!C13*'Role-Salary Helper '!C27*51)</f>
        <v>7956</v>
      </c>
      <c r="D114" s="70"/>
      <c r="E114" s="131" t="s">
        <v>41</v>
      </c>
      <c r="F114" s="132">
        <v>0.05</v>
      </c>
      <c r="G114" s="66">
        <f>F114*('Role-Salary Helper '!F19*51)</f>
        <v>1530</v>
      </c>
      <c r="H114" s="57"/>
      <c r="I114" s="94"/>
      <c r="K114" s="57"/>
      <c r="M114" s="70"/>
      <c r="N114" s="70"/>
      <c r="O114" s="119"/>
      <c r="P114" s="70"/>
      <c r="Q114" s="121"/>
      <c r="R114" s="70"/>
      <c r="S114" s="119"/>
      <c r="U114" s="69"/>
    </row>
    <row r="115" spans="1:21" x14ac:dyDescent="0.25">
      <c r="A115" s="65" t="s">
        <v>149</v>
      </c>
      <c r="B115" s="65">
        <v>1</v>
      </c>
      <c r="C115" s="66">
        <f>B115*('Role-Salary Helper '!C14*'Role-Salary Helper '!C27*51)</f>
        <v>6961.5</v>
      </c>
      <c r="D115" s="57"/>
      <c r="E115" s="99"/>
      <c r="F115" s="100"/>
      <c r="G115" s="128">
        <v>0</v>
      </c>
      <c r="H115" s="57"/>
      <c r="I115" s="94"/>
      <c r="K115" s="57"/>
      <c r="M115" s="121"/>
      <c r="N115" s="70"/>
      <c r="O115" s="119"/>
      <c r="P115" s="70"/>
      <c r="Q115" s="122"/>
      <c r="R115" s="123"/>
      <c r="S115" s="124"/>
      <c r="U115" s="69"/>
    </row>
    <row r="116" spans="1:21" x14ac:dyDescent="0.25">
      <c r="A116" s="65" t="s">
        <v>40</v>
      </c>
      <c r="B116" s="65">
        <v>1</v>
      </c>
      <c r="C116" s="66">
        <f>B116*('Role-Salary Helper '!C15*'Role-Salary Helper '!C27*51)</f>
        <v>6630</v>
      </c>
      <c r="D116" s="67"/>
      <c r="E116" s="99"/>
      <c r="F116" s="100"/>
      <c r="G116" s="128">
        <v>0</v>
      </c>
      <c r="H116" s="57"/>
      <c r="I116" s="94"/>
      <c r="K116" s="57"/>
      <c r="M116" s="70"/>
      <c r="N116" s="70"/>
      <c r="O116" s="119"/>
      <c r="Q116" s="144"/>
      <c r="R116" s="145"/>
      <c r="S116" s="119"/>
      <c r="T116" s="96"/>
      <c r="U116" s="69"/>
    </row>
    <row r="117" spans="1:21" x14ac:dyDescent="0.25">
      <c r="A117" s="130" t="s">
        <v>143</v>
      </c>
      <c r="B117" s="100">
        <v>1</v>
      </c>
      <c r="C117" s="66">
        <f>B117*('Role-Salary Helper '!C16*'Role-Salary Helper '!C27*51)</f>
        <v>7293</v>
      </c>
      <c r="D117" s="67"/>
      <c r="E117" s="99"/>
      <c r="F117" s="100"/>
      <c r="G117" s="128">
        <v>0</v>
      </c>
      <c r="H117" s="57"/>
      <c r="I117" s="94"/>
      <c r="K117" s="57"/>
      <c r="M117" s="70"/>
      <c r="N117" s="70"/>
      <c r="O117" s="119"/>
      <c r="P117" s="67"/>
      <c r="Q117" s="67"/>
      <c r="R117" s="70"/>
      <c r="S117" s="119"/>
      <c r="U117" s="69"/>
    </row>
    <row r="118" spans="1:21" x14ac:dyDescent="0.25">
      <c r="A118" s="99" t="s">
        <v>195</v>
      </c>
      <c r="B118" s="129">
        <v>2</v>
      </c>
      <c r="C118" s="128">
        <f>B118*('Role-Salary Helper '!C18*51)</f>
        <v>18360</v>
      </c>
      <c r="D118" s="57"/>
      <c r="E118" s="99"/>
      <c r="F118" s="100"/>
      <c r="G118" s="128">
        <v>0</v>
      </c>
      <c r="H118" s="57"/>
      <c r="I118" s="57"/>
      <c r="K118" s="57"/>
      <c r="M118" s="125"/>
      <c r="N118" s="125"/>
      <c r="O118" s="119"/>
      <c r="P118" s="67"/>
      <c r="Q118" s="67"/>
      <c r="R118" s="70"/>
      <c r="S118" s="119"/>
      <c r="U118" s="56"/>
    </row>
    <row r="119" spans="1:21" x14ac:dyDescent="0.25">
      <c r="A119" s="75" t="s">
        <v>218</v>
      </c>
      <c r="B119" s="75">
        <v>1</v>
      </c>
      <c r="C119" s="66">
        <f>B119*('Role-Salary Helper '!F27*51)</f>
        <v>17850</v>
      </c>
      <c r="D119" s="57"/>
      <c r="E119" s="99"/>
      <c r="F119" s="100"/>
      <c r="G119" s="128"/>
      <c r="H119" s="57"/>
      <c r="I119" s="57"/>
      <c r="K119" s="57"/>
      <c r="M119" s="125"/>
      <c r="N119" s="125"/>
      <c r="O119" s="119"/>
      <c r="P119" s="67"/>
      <c r="Q119" s="67"/>
      <c r="R119" s="70"/>
      <c r="S119" s="119"/>
      <c r="U119" s="56"/>
    </row>
    <row r="120" spans="1:21" x14ac:dyDescent="0.25">
      <c r="A120" s="75" t="s">
        <v>217</v>
      </c>
      <c r="B120" s="75">
        <v>1</v>
      </c>
      <c r="C120" s="66">
        <f>B120*('Role-Salary Helper '!F27*51)</f>
        <v>17850</v>
      </c>
      <c r="D120" s="57"/>
      <c r="E120" s="99"/>
      <c r="F120" s="100"/>
      <c r="G120" s="128"/>
      <c r="H120" s="57"/>
      <c r="I120" s="57"/>
      <c r="K120" s="57"/>
      <c r="M120" s="125"/>
      <c r="N120" s="125"/>
      <c r="O120" s="119"/>
      <c r="P120" s="67"/>
      <c r="Q120" s="67"/>
      <c r="R120" s="70"/>
      <c r="S120" s="119"/>
      <c r="U120" s="56"/>
    </row>
    <row r="121" spans="1:21" x14ac:dyDescent="0.25">
      <c r="A121" s="75" t="s">
        <v>216</v>
      </c>
      <c r="B121" s="75">
        <v>0.1</v>
      </c>
      <c r="C121" s="66">
        <f>B121*('Role-Salary Helper '!F27*51)</f>
        <v>1785</v>
      </c>
      <c r="D121" s="57"/>
      <c r="E121" s="99"/>
      <c r="F121" s="100"/>
      <c r="G121" s="128">
        <v>0</v>
      </c>
      <c r="H121" s="57"/>
      <c r="I121" s="83"/>
      <c r="K121" s="57"/>
      <c r="M121" s="115"/>
      <c r="N121" s="70"/>
      <c r="O121" s="116"/>
      <c r="P121" s="67"/>
      <c r="Q121" s="115"/>
      <c r="R121" s="70"/>
      <c r="S121" s="116"/>
      <c r="U121" s="83"/>
    </row>
    <row r="122" spans="1:21" x14ac:dyDescent="0.25">
      <c r="A122" s="133" t="s">
        <v>146</v>
      </c>
      <c r="B122" s="134">
        <f>SUM(B113:B121)</f>
        <v>9.1</v>
      </c>
      <c r="C122" s="135">
        <f>SUM(C113:C121)</f>
        <v>89530.5</v>
      </c>
      <c r="D122" s="57"/>
      <c r="E122" s="133" t="s">
        <v>146</v>
      </c>
      <c r="F122" s="134">
        <f>SUM(F113:F121)</f>
        <v>0.55000000000000004</v>
      </c>
      <c r="G122" s="104">
        <f>SUM(G113:G121)</f>
        <v>5355</v>
      </c>
      <c r="H122" s="57"/>
    </row>
    <row r="123" spans="1:21" x14ac:dyDescent="0.25">
      <c r="A123" s="110"/>
      <c r="B123" s="70"/>
      <c r="C123" s="136"/>
      <c r="D123" s="57"/>
      <c r="E123" s="110"/>
      <c r="F123" s="70"/>
      <c r="G123" s="136"/>
      <c r="H123" s="57"/>
    </row>
    <row r="124" spans="1:21" x14ac:dyDescent="0.25">
      <c r="A124" s="110"/>
      <c r="B124" s="70"/>
      <c r="C124" s="61" t="s">
        <v>148</v>
      </c>
      <c r="E124" s="110"/>
      <c r="F124" s="70"/>
      <c r="G124" s="136"/>
      <c r="I124" s="61" t="s">
        <v>198</v>
      </c>
    </row>
    <row r="125" spans="1:21" x14ac:dyDescent="0.25">
      <c r="A125" s="110"/>
      <c r="B125" s="70"/>
      <c r="C125" s="117">
        <f>SUM(C122,G122)</f>
        <v>94885.5</v>
      </c>
      <c r="D125" s="56"/>
      <c r="E125" s="110"/>
      <c r="F125" s="70"/>
      <c r="G125" s="136"/>
      <c r="H125" s="57"/>
      <c r="I125" s="137">
        <f>SUM(I107,C125)</f>
        <v>266296.5</v>
      </c>
    </row>
    <row r="126" spans="1:21" x14ac:dyDescent="0.25">
      <c r="D126" s="56"/>
      <c r="H126" s="57"/>
      <c r="I126" s="56"/>
    </row>
    <row r="127" spans="1:21" x14ac:dyDescent="0.25">
      <c r="A127" s="56" t="s">
        <v>213</v>
      </c>
      <c r="B127" s="57"/>
      <c r="C127" s="110" t="s">
        <v>212</v>
      </c>
      <c r="D127" s="67"/>
      <c r="E127" s="56" t="s">
        <v>211</v>
      </c>
      <c r="F127" s="56"/>
      <c r="G127" s="110" t="s">
        <v>212</v>
      </c>
      <c r="H127" s="57"/>
      <c r="I127" s="94"/>
    </row>
    <row r="128" spans="1:21" x14ac:dyDescent="0.25">
      <c r="A128" s="61" t="s">
        <v>9</v>
      </c>
      <c r="B128" s="91" t="s">
        <v>147</v>
      </c>
      <c r="C128" s="90" t="s">
        <v>112</v>
      </c>
      <c r="D128" s="70"/>
      <c r="E128" s="61" t="s">
        <v>9</v>
      </c>
      <c r="F128" s="91" t="s">
        <v>10</v>
      </c>
      <c r="G128" s="92" t="s">
        <v>112</v>
      </c>
      <c r="H128" s="57"/>
      <c r="I128" s="94"/>
    </row>
    <row r="129" spans="1:9" x14ac:dyDescent="0.25">
      <c r="A129" s="65" t="s">
        <v>139</v>
      </c>
      <c r="B129" s="65">
        <v>1</v>
      </c>
      <c r="C129" s="66">
        <f>B129*('Role-Salary Helper '!C12*'Role-Salary Helper '!C28*51)</f>
        <v>4845</v>
      </c>
      <c r="D129" s="70"/>
      <c r="E129" s="71" t="s">
        <v>210</v>
      </c>
      <c r="F129" s="100">
        <v>0.5</v>
      </c>
      <c r="G129" s="66">
        <f>F129*('Role-Salary Helper '!F17*51)</f>
        <v>3825</v>
      </c>
      <c r="H129" s="57"/>
      <c r="I129" s="94"/>
    </row>
    <row r="130" spans="1:9" x14ac:dyDescent="0.25">
      <c r="A130" s="65" t="s">
        <v>137</v>
      </c>
      <c r="B130" s="65">
        <v>1</v>
      </c>
      <c r="C130" s="66">
        <f>B130*('Role-Salary Helper '!C13*'Role-Salary Helper '!C27*51)</f>
        <v>7956</v>
      </c>
      <c r="D130" s="70"/>
      <c r="E130" s="131" t="s">
        <v>41</v>
      </c>
      <c r="F130" s="132">
        <v>0.05</v>
      </c>
      <c r="G130" s="66">
        <f>F130*('Role-Salary Helper '!F19*51)</f>
        <v>1530</v>
      </c>
      <c r="H130" s="57"/>
      <c r="I130" s="94"/>
    </row>
    <row r="131" spans="1:9" x14ac:dyDescent="0.25">
      <c r="A131" s="65" t="s">
        <v>149</v>
      </c>
      <c r="B131" s="65">
        <v>1</v>
      </c>
      <c r="C131" s="66">
        <f>B131*('Role-Salary Helper '!C14*'Role-Salary Helper '!C27*51)</f>
        <v>6961.5</v>
      </c>
      <c r="D131" s="57"/>
      <c r="E131" s="99"/>
      <c r="F131" s="100"/>
      <c r="G131" s="128">
        <v>0</v>
      </c>
      <c r="H131" s="57"/>
      <c r="I131" s="94"/>
    </row>
    <row r="132" spans="1:9" x14ac:dyDescent="0.25">
      <c r="A132" s="65" t="s">
        <v>40</v>
      </c>
      <c r="B132" s="65">
        <v>1</v>
      </c>
      <c r="C132" s="66">
        <f>B132*('Role-Salary Helper '!C15*'Role-Salary Helper '!C27*51)</f>
        <v>6630</v>
      </c>
      <c r="D132" s="67"/>
      <c r="E132" s="99"/>
      <c r="F132" s="100"/>
      <c r="G132" s="128">
        <v>0</v>
      </c>
      <c r="H132" s="57"/>
      <c r="I132" s="94"/>
    </row>
    <row r="133" spans="1:9" x14ac:dyDescent="0.25">
      <c r="A133" s="130" t="s">
        <v>143</v>
      </c>
      <c r="B133" s="100">
        <v>1</v>
      </c>
      <c r="C133" s="66">
        <f>B133*('Role-Salary Helper '!C16*'Role-Salary Helper '!C27*51)</f>
        <v>7293</v>
      </c>
      <c r="D133" s="67"/>
      <c r="E133" s="99"/>
      <c r="F133" s="100"/>
      <c r="G133" s="128">
        <v>0</v>
      </c>
      <c r="H133" s="57"/>
      <c r="I133" s="94"/>
    </row>
    <row r="134" spans="1:9" x14ac:dyDescent="0.25">
      <c r="A134" s="99" t="s">
        <v>195</v>
      </c>
      <c r="B134" s="129">
        <v>2</v>
      </c>
      <c r="C134" s="66">
        <f>B134*('Role-Salary Helper '!C18*51)</f>
        <v>18360</v>
      </c>
      <c r="D134" s="57"/>
      <c r="E134" s="99"/>
      <c r="F134" s="100"/>
      <c r="G134" s="128">
        <v>0</v>
      </c>
      <c r="H134" s="57"/>
      <c r="I134" s="57"/>
    </row>
    <row r="135" spans="1:9" x14ac:dyDescent="0.25">
      <c r="A135" s="75" t="s">
        <v>218</v>
      </c>
      <c r="B135" s="75">
        <v>1</v>
      </c>
      <c r="C135" s="66">
        <f>B135*('Role-Salary Helper '!F27*51)</f>
        <v>17850</v>
      </c>
      <c r="D135" s="57"/>
      <c r="E135" s="99"/>
      <c r="F135" s="100"/>
      <c r="G135" s="128">
        <v>0</v>
      </c>
      <c r="H135" s="57"/>
      <c r="I135" s="57"/>
    </row>
    <row r="136" spans="1:9" x14ac:dyDescent="0.25">
      <c r="A136" s="75" t="s">
        <v>217</v>
      </c>
      <c r="B136" s="75">
        <v>1</v>
      </c>
      <c r="C136" s="66">
        <f>B136*('Role-Salary Helper '!F27*51)</f>
        <v>17850</v>
      </c>
      <c r="D136" s="57"/>
      <c r="E136" s="99"/>
      <c r="F136" s="100"/>
      <c r="G136" s="128">
        <v>0</v>
      </c>
      <c r="H136" s="57"/>
      <c r="I136" s="57"/>
    </row>
    <row r="137" spans="1:9" x14ac:dyDescent="0.25">
      <c r="A137" s="75" t="s">
        <v>216</v>
      </c>
      <c r="B137" s="75">
        <v>0.1</v>
      </c>
      <c r="C137" s="66">
        <f>B137*('Role-Salary Helper '!F27*51)</f>
        <v>1785</v>
      </c>
      <c r="D137" s="57"/>
      <c r="E137" s="99"/>
      <c r="F137" s="100"/>
      <c r="G137" s="128">
        <v>0</v>
      </c>
      <c r="H137" s="57"/>
      <c r="I137" s="83"/>
    </row>
    <row r="138" spans="1:9" x14ac:dyDescent="0.25">
      <c r="A138" s="133" t="s">
        <v>146</v>
      </c>
      <c r="B138" s="134">
        <f>SUM(B129:B137)</f>
        <v>9.1</v>
      </c>
      <c r="C138" s="135">
        <f>SUM(C129:C137)</f>
        <v>89530.5</v>
      </c>
      <c r="D138" s="57"/>
      <c r="E138" s="133" t="s">
        <v>146</v>
      </c>
      <c r="F138" s="134">
        <f>SUM(F129:F137)</f>
        <v>0.55000000000000004</v>
      </c>
      <c r="G138" s="104">
        <f>SUM(G129:G137)</f>
        <v>5355</v>
      </c>
      <c r="H138" s="57"/>
    </row>
    <row r="139" spans="1:9" x14ac:dyDescent="0.25">
      <c r="A139" s="110"/>
      <c r="B139" s="70"/>
      <c r="C139" s="136"/>
      <c r="D139" s="57"/>
      <c r="E139" s="110"/>
      <c r="F139" s="70"/>
      <c r="G139" s="136"/>
      <c r="H139" s="57"/>
    </row>
    <row r="140" spans="1:9" x14ac:dyDescent="0.25">
      <c r="A140" s="110"/>
      <c r="B140" s="70"/>
      <c r="C140" s="61" t="s">
        <v>148</v>
      </c>
      <c r="E140" s="110"/>
      <c r="F140" s="70"/>
      <c r="G140" s="136"/>
      <c r="I140" s="61" t="s">
        <v>198</v>
      </c>
    </row>
    <row r="141" spans="1:9" x14ac:dyDescent="0.25">
      <c r="A141" s="110"/>
      <c r="B141" s="70"/>
      <c r="C141" s="117">
        <f>SUM(C138,G138)</f>
        <v>94885.5</v>
      </c>
      <c r="E141" s="110"/>
      <c r="F141" s="70"/>
      <c r="G141" s="136"/>
      <c r="I141" s="137">
        <f>SUM(I125,C141)</f>
        <v>361182</v>
      </c>
    </row>
  </sheetData>
  <autoFilter ref="A4:G4" xr:uid="{5A5F7C0F-E251-BF48-9389-A0317EA14003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9FF4-BE7F-4E41-A5A5-DFD10B5533BC}">
  <dimension ref="A9:F36"/>
  <sheetViews>
    <sheetView topLeftCell="A21" workbookViewId="0">
      <selection activeCell="I34" sqref="I34"/>
    </sheetView>
  </sheetViews>
  <sheetFormatPr baseColWidth="10" defaultRowHeight="15" x14ac:dyDescent="0.2"/>
  <cols>
    <col min="1" max="1" width="33.5" customWidth="1"/>
    <col min="2" max="2" width="46.6640625" customWidth="1"/>
    <col min="3" max="3" width="14.6640625" customWidth="1"/>
    <col min="5" max="5" width="28.6640625" customWidth="1"/>
    <col min="6" max="6" width="14" customWidth="1"/>
  </cols>
  <sheetData>
    <row r="9" spans="2:6" ht="22" x14ac:dyDescent="0.3">
      <c r="B9" s="106" t="s">
        <v>167</v>
      </c>
      <c r="E9" s="106" t="s">
        <v>166</v>
      </c>
    </row>
    <row r="11" spans="2:6" ht="19" x14ac:dyDescent="0.25">
      <c r="B11" s="61" t="s">
        <v>9</v>
      </c>
      <c r="C11" s="62" t="s">
        <v>163</v>
      </c>
      <c r="E11" s="61" t="s">
        <v>9</v>
      </c>
      <c r="F11" s="62" t="s">
        <v>163</v>
      </c>
    </row>
    <row r="12" spans="2:6" ht="19" x14ac:dyDescent="0.25">
      <c r="B12" s="65" t="s">
        <v>165</v>
      </c>
      <c r="C12" s="66">
        <v>190</v>
      </c>
      <c r="E12" s="68" t="s">
        <v>139</v>
      </c>
      <c r="F12" s="66">
        <v>190</v>
      </c>
    </row>
    <row r="13" spans="2:6" ht="19" x14ac:dyDescent="0.25">
      <c r="B13" s="65" t="s">
        <v>137</v>
      </c>
      <c r="C13" s="66">
        <v>240</v>
      </c>
      <c r="E13" s="68" t="s">
        <v>169</v>
      </c>
      <c r="F13" s="66">
        <v>280</v>
      </c>
    </row>
    <row r="14" spans="2:6" ht="19" x14ac:dyDescent="0.25">
      <c r="B14" s="65" t="s">
        <v>149</v>
      </c>
      <c r="C14" s="66">
        <v>210</v>
      </c>
      <c r="E14" s="68" t="s">
        <v>149</v>
      </c>
      <c r="F14" s="66">
        <v>220</v>
      </c>
    </row>
    <row r="15" spans="2:6" ht="19" x14ac:dyDescent="0.25">
      <c r="B15" s="65" t="s">
        <v>40</v>
      </c>
      <c r="C15" s="66">
        <v>200</v>
      </c>
      <c r="E15" s="68" t="s">
        <v>40</v>
      </c>
      <c r="F15" s="66">
        <v>200</v>
      </c>
    </row>
    <row r="16" spans="2:6" ht="19" x14ac:dyDescent="0.25">
      <c r="B16" s="71" t="s">
        <v>143</v>
      </c>
      <c r="C16" s="66">
        <v>220</v>
      </c>
      <c r="E16" s="68" t="s">
        <v>141</v>
      </c>
      <c r="F16" s="66">
        <v>350</v>
      </c>
    </row>
    <row r="17" spans="1:6" ht="19" x14ac:dyDescent="0.25">
      <c r="B17" s="71" t="s">
        <v>157</v>
      </c>
      <c r="C17" s="66">
        <v>235</v>
      </c>
      <c r="E17" s="71" t="s">
        <v>136</v>
      </c>
      <c r="F17" s="66">
        <v>150</v>
      </c>
    </row>
    <row r="18" spans="1:6" ht="19" x14ac:dyDescent="0.25">
      <c r="B18" s="71" t="s">
        <v>164</v>
      </c>
      <c r="C18" s="66">
        <v>180</v>
      </c>
      <c r="E18" s="71" t="s">
        <v>6</v>
      </c>
      <c r="F18" s="66">
        <v>300</v>
      </c>
    </row>
    <row r="19" spans="1:6" ht="19" x14ac:dyDescent="0.25">
      <c r="A19" s="109"/>
      <c r="B19" s="71" t="s">
        <v>6</v>
      </c>
      <c r="C19" s="66">
        <v>300</v>
      </c>
      <c r="E19" s="75" t="s">
        <v>41</v>
      </c>
      <c r="F19" s="76">
        <v>600</v>
      </c>
    </row>
    <row r="20" spans="1:6" ht="19" x14ac:dyDescent="0.25">
      <c r="B20" s="111"/>
      <c r="C20" s="111"/>
      <c r="E20" s="68" t="s">
        <v>179</v>
      </c>
      <c r="F20" s="66">
        <v>144</v>
      </c>
    </row>
    <row r="21" spans="1:6" ht="19" x14ac:dyDescent="0.25">
      <c r="B21" s="111"/>
      <c r="C21" s="111"/>
      <c r="E21" s="71" t="s">
        <v>143</v>
      </c>
      <c r="F21" s="66">
        <v>150</v>
      </c>
    </row>
    <row r="22" spans="1:6" ht="19" x14ac:dyDescent="0.25">
      <c r="B22" s="77"/>
      <c r="C22" s="79"/>
      <c r="E22" s="77"/>
      <c r="F22" s="79"/>
    </row>
    <row r="24" spans="1:6" ht="22" x14ac:dyDescent="0.3">
      <c r="B24" s="106" t="s">
        <v>168</v>
      </c>
      <c r="E24" s="106" t="s">
        <v>162</v>
      </c>
    </row>
    <row r="26" spans="1:6" ht="19" x14ac:dyDescent="0.25">
      <c r="B26" s="61" t="s">
        <v>9</v>
      </c>
      <c r="C26" s="172" t="s">
        <v>163</v>
      </c>
      <c r="E26" s="61" t="s">
        <v>9</v>
      </c>
      <c r="F26" s="62" t="s">
        <v>163</v>
      </c>
    </row>
    <row r="27" spans="1:6" ht="19" x14ac:dyDescent="0.25">
      <c r="B27" s="65" t="s">
        <v>233</v>
      </c>
      <c r="C27" s="173">
        <f>0.65</f>
        <v>0.65</v>
      </c>
      <c r="E27" s="65" t="s">
        <v>162</v>
      </c>
      <c r="F27" s="66">
        <v>350</v>
      </c>
    </row>
    <row r="28" spans="1:6" ht="19" x14ac:dyDescent="0.25">
      <c r="B28" s="65" t="s">
        <v>234</v>
      </c>
      <c r="C28" s="173">
        <f>0.5</f>
        <v>0.5</v>
      </c>
      <c r="E28" s="65" t="s">
        <v>215</v>
      </c>
      <c r="F28" s="66">
        <v>350</v>
      </c>
    </row>
    <row r="29" spans="1:6" ht="19" x14ac:dyDescent="0.25">
      <c r="B29" s="65"/>
      <c r="C29" s="173"/>
      <c r="E29" s="65"/>
      <c r="F29" s="66"/>
    </row>
    <row r="30" spans="1:6" ht="19" x14ac:dyDescent="0.25">
      <c r="B30" s="65"/>
      <c r="C30" s="173"/>
      <c r="E30" s="65"/>
      <c r="F30" s="66"/>
    </row>
    <row r="31" spans="1:6" ht="19" x14ac:dyDescent="0.25">
      <c r="B31" s="71"/>
      <c r="C31" s="173"/>
      <c r="E31" s="71"/>
      <c r="F31" s="66"/>
    </row>
    <row r="32" spans="1:6" ht="19" x14ac:dyDescent="0.25">
      <c r="B32" s="71"/>
      <c r="C32" s="173"/>
      <c r="E32" s="71"/>
      <c r="F32" s="66"/>
    </row>
    <row r="33" spans="2:6" ht="19" x14ac:dyDescent="0.25">
      <c r="B33" s="71"/>
      <c r="C33" s="173"/>
      <c r="E33" s="71"/>
      <c r="F33" s="66"/>
    </row>
    <row r="34" spans="2:6" ht="19" x14ac:dyDescent="0.25">
      <c r="B34" s="71"/>
      <c r="C34" s="173"/>
      <c r="E34" s="71"/>
      <c r="F34" s="66"/>
    </row>
    <row r="35" spans="2:6" ht="19" x14ac:dyDescent="0.25">
      <c r="B35" s="68"/>
      <c r="C35" s="173"/>
      <c r="E35" s="68"/>
      <c r="F35" s="66"/>
    </row>
    <row r="36" spans="2:6" ht="19" x14ac:dyDescent="0.25">
      <c r="B36" s="77"/>
      <c r="C36" s="174"/>
      <c r="E36" s="77"/>
      <c r="F36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3EE6-E7C7-4853-AA80-8A3435328E33}">
  <dimension ref="A1:F21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27.33203125" customWidth="1"/>
    <col min="2" max="2" width="13.5" customWidth="1"/>
    <col min="5" max="5" width="48.33203125" customWidth="1"/>
    <col min="6" max="6" width="13" customWidth="1"/>
  </cols>
  <sheetData>
    <row r="1" spans="1:6" ht="39" x14ac:dyDescent="0.45">
      <c r="A1" s="3" t="s">
        <v>0</v>
      </c>
    </row>
    <row r="3" spans="1:6" ht="29" x14ac:dyDescent="0.35">
      <c r="A3" s="1" t="s">
        <v>83</v>
      </c>
    </row>
    <row r="5" spans="1:6" ht="22" x14ac:dyDescent="0.3">
      <c r="A5" s="2" t="s">
        <v>84</v>
      </c>
      <c r="E5" s="2" t="s">
        <v>99</v>
      </c>
    </row>
    <row r="7" spans="1:6" x14ac:dyDescent="0.2">
      <c r="A7" s="10" t="s">
        <v>100</v>
      </c>
      <c r="B7" s="10" t="s">
        <v>86</v>
      </c>
      <c r="E7" s="10" t="s">
        <v>101</v>
      </c>
      <c r="F7" s="10" t="s">
        <v>86</v>
      </c>
    </row>
    <row r="8" spans="1:6" x14ac:dyDescent="0.2">
      <c r="A8" s="25" t="s">
        <v>85</v>
      </c>
      <c r="B8" s="43">
        <f>8*SUM('OLD Employee &amp; Contracting Cost'!B13)</f>
        <v>58</v>
      </c>
      <c r="C8" s="44"/>
      <c r="E8" s="25" t="s">
        <v>105</v>
      </c>
      <c r="F8" s="43">
        <v>820</v>
      </c>
    </row>
    <row r="9" spans="1:6" x14ac:dyDescent="0.2">
      <c r="A9" s="25" t="s">
        <v>87</v>
      </c>
      <c r="B9" s="43">
        <v>200</v>
      </c>
      <c r="C9" s="44"/>
      <c r="E9" s="25" t="s">
        <v>106</v>
      </c>
      <c r="F9" s="43">
        <v>50</v>
      </c>
    </row>
    <row r="10" spans="1:6" x14ac:dyDescent="0.2">
      <c r="A10" s="25" t="s">
        <v>97</v>
      </c>
      <c r="B10" s="43">
        <v>500</v>
      </c>
      <c r="C10" s="44"/>
      <c r="E10" s="25" t="s">
        <v>124</v>
      </c>
      <c r="F10" s="43">
        <v>2500</v>
      </c>
    </row>
    <row r="11" spans="1:6" x14ac:dyDescent="0.2">
      <c r="A11" s="25" t="s">
        <v>98</v>
      </c>
      <c r="B11" s="43">
        <v>150</v>
      </c>
      <c r="E11" s="25" t="s">
        <v>107</v>
      </c>
      <c r="F11" s="43">
        <v>200</v>
      </c>
    </row>
    <row r="12" spans="1:6" x14ac:dyDescent="0.2">
      <c r="A12" s="25" t="s">
        <v>102</v>
      </c>
      <c r="B12" s="43">
        <v>150</v>
      </c>
      <c r="E12" s="111"/>
      <c r="F12" s="111"/>
    </row>
    <row r="13" spans="1:6" x14ac:dyDescent="0.2">
      <c r="A13" s="25" t="s">
        <v>103</v>
      </c>
      <c r="B13" s="43">
        <v>250</v>
      </c>
      <c r="E13" s="9"/>
      <c r="F13" s="114"/>
    </row>
    <row r="14" spans="1:6" x14ac:dyDescent="0.2">
      <c r="A14" s="25" t="s">
        <v>107</v>
      </c>
      <c r="B14" s="43">
        <v>200</v>
      </c>
      <c r="E14" s="9"/>
      <c r="F14" s="9"/>
    </row>
    <row r="15" spans="1:6" x14ac:dyDescent="0.2">
      <c r="A15" s="26" t="s">
        <v>104</v>
      </c>
      <c r="B15" s="45">
        <f>SUM(B8:B14)</f>
        <v>1508</v>
      </c>
      <c r="E15" s="26" t="s">
        <v>104</v>
      </c>
      <c r="F15" s="45">
        <f>SUM(F8:F13)</f>
        <v>3570</v>
      </c>
    </row>
    <row r="20" spans="1:2" ht="18" x14ac:dyDescent="0.25">
      <c r="A20" s="46" t="s">
        <v>108</v>
      </c>
      <c r="B20" s="47">
        <f>B15+F15</f>
        <v>5078</v>
      </c>
    </row>
    <row r="21" spans="1:2" ht="18" x14ac:dyDescent="0.25">
      <c r="A21" s="46" t="s">
        <v>42</v>
      </c>
      <c r="B21" s="102">
        <f>B20*12</f>
        <v>60936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7D57-6EF2-49C0-B554-32EDA3BF6FAD}">
  <dimension ref="A1:X32"/>
  <sheetViews>
    <sheetView topLeftCell="A4" zoomScale="79" zoomScaleNormal="100" workbookViewId="0">
      <selection activeCell="X10" sqref="X10"/>
    </sheetView>
  </sheetViews>
  <sheetFormatPr baseColWidth="10" defaultColWidth="8.83203125" defaultRowHeight="15" x14ac:dyDescent="0.2"/>
  <cols>
    <col min="1" max="1" width="9.1640625" customWidth="1"/>
    <col min="2" max="2" width="12.6640625" customWidth="1"/>
    <col min="3" max="3" width="10.83203125" customWidth="1"/>
    <col min="4" max="4" width="20.6640625" customWidth="1"/>
    <col min="5" max="5" width="12.5" customWidth="1"/>
    <col min="6" max="6" width="11.6640625" customWidth="1"/>
    <col min="7" max="7" width="10.83203125" customWidth="1"/>
    <col min="8" max="8" width="20.1640625" customWidth="1"/>
    <col min="9" max="9" width="20.5" customWidth="1"/>
    <col min="10" max="10" width="13.5" customWidth="1"/>
    <col min="24" max="24" width="42.33203125" customWidth="1"/>
  </cols>
  <sheetData>
    <row r="1" spans="1:24" ht="39" x14ac:dyDescent="0.45">
      <c r="A1" s="3" t="s">
        <v>0</v>
      </c>
    </row>
    <row r="3" spans="1:24" ht="29" x14ac:dyDescent="0.35">
      <c r="A3" s="1" t="s">
        <v>51</v>
      </c>
    </row>
    <row r="5" spans="1:24" ht="22" x14ac:dyDescent="0.3">
      <c r="A5" s="2" t="s">
        <v>77</v>
      </c>
    </row>
    <row r="6" spans="1:24" ht="15" customHeight="1" x14ac:dyDescent="0.3">
      <c r="A6" s="2"/>
    </row>
    <row r="7" spans="1:24" ht="22" x14ac:dyDescent="0.3">
      <c r="A7" s="2" t="s">
        <v>52</v>
      </c>
      <c r="I7" s="2" t="s">
        <v>78</v>
      </c>
    </row>
    <row r="8" spans="1:24" x14ac:dyDescent="0.2">
      <c r="C8" t="s">
        <v>120</v>
      </c>
      <c r="D8" t="s">
        <v>121</v>
      </c>
      <c r="E8" t="s">
        <v>122</v>
      </c>
      <c r="F8" s="4" t="s">
        <v>123</v>
      </c>
    </row>
    <row r="9" spans="1:24" ht="32" x14ac:dyDescent="0.2">
      <c r="A9" s="206"/>
      <c r="B9" s="206"/>
      <c r="C9" s="32" t="s">
        <v>43</v>
      </c>
      <c r="D9" s="32" t="s">
        <v>44</v>
      </c>
      <c r="E9" s="32" t="s">
        <v>45</v>
      </c>
      <c r="I9" s="32" t="s">
        <v>54</v>
      </c>
      <c r="J9" s="32" t="s">
        <v>55</v>
      </c>
      <c r="K9" s="32" t="s">
        <v>56</v>
      </c>
      <c r="L9" s="32" t="s">
        <v>57</v>
      </c>
      <c r="M9" s="32" t="s">
        <v>58</v>
      </c>
      <c r="N9" s="32" t="s">
        <v>70</v>
      </c>
      <c r="O9" s="32" t="s">
        <v>71</v>
      </c>
      <c r="P9" s="32" t="s">
        <v>72</v>
      </c>
      <c r="Q9" s="32" t="s">
        <v>73</v>
      </c>
      <c r="R9" s="32" t="s">
        <v>59</v>
      </c>
      <c r="T9" s="49" t="s">
        <v>115</v>
      </c>
      <c r="U9" s="49" t="s">
        <v>116</v>
      </c>
      <c r="V9" s="49" t="s">
        <v>117</v>
      </c>
      <c r="W9" s="49" t="s">
        <v>118</v>
      </c>
    </row>
    <row r="10" spans="1:24" ht="27" customHeight="1" x14ac:dyDescent="0.2">
      <c r="A10" s="207" t="s">
        <v>46</v>
      </c>
      <c r="B10" s="207"/>
      <c r="C10" s="31">
        <v>4000</v>
      </c>
      <c r="D10" s="31">
        <v>8000</v>
      </c>
      <c r="E10" s="31">
        <v>8000</v>
      </c>
      <c r="H10" s="52" t="s">
        <v>125</v>
      </c>
      <c r="I10" s="36" t="s">
        <v>60</v>
      </c>
      <c r="J10" s="34">
        <v>2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T10" s="48">
        <f t="shared" ref="T10:T19" si="0">SUM(J10:R10)</f>
        <v>2</v>
      </c>
      <c r="U10" s="48">
        <f t="shared" ref="U10:U19" si="1">J10+M10+P10</f>
        <v>2</v>
      </c>
      <c r="V10" s="48">
        <f t="shared" ref="V10:V19" si="2">K10+N10+Q10</f>
        <v>0</v>
      </c>
      <c r="W10" s="48">
        <f t="shared" ref="W10:W19" si="3">L10+O10+R10</f>
        <v>0</v>
      </c>
    </row>
    <row r="11" spans="1:24" ht="27" customHeight="1" x14ac:dyDescent="0.2">
      <c r="A11" s="207" t="s">
        <v>47</v>
      </c>
      <c r="B11" s="207"/>
      <c r="C11" s="31">
        <v>600</v>
      </c>
      <c r="D11" s="31">
        <v>1000</v>
      </c>
      <c r="E11" s="31">
        <v>4000</v>
      </c>
      <c r="H11" s="53" t="s">
        <v>126</v>
      </c>
      <c r="I11" s="36" t="s">
        <v>61</v>
      </c>
      <c r="J11" s="34">
        <v>3</v>
      </c>
      <c r="K11" s="34">
        <v>1</v>
      </c>
      <c r="L11" s="34">
        <v>0</v>
      </c>
      <c r="M11" s="34">
        <v>0</v>
      </c>
      <c r="N11" s="34">
        <v>1</v>
      </c>
      <c r="O11" s="34">
        <v>0</v>
      </c>
      <c r="P11" s="34">
        <v>0</v>
      </c>
      <c r="Q11" s="34">
        <v>0</v>
      </c>
      <c r="R11" s="34">
        <v>0</v>
      </c>
      <c r="T11" s="48">
        <f>SUM(J11:R11)</f>
        <v>5</v>
      </c>
      <c r="U11" s="48">
        <f t="shared" si="1"/>
        <v>3</v>
      </c>
      <c r="V11" s="48">
        <f>K11+N11+Q11</f>
        <v>2</v>
      </c>
      <c r="W11" s="48">
        <f t="shared" si="3"/>
        <v>0</v>
      </c>
    </row>
    <row r="12" spans="1:24" ht="27" customHeight="1" x14ac:dyDescent="0.2">
      <c r="A12" s="207" t="s">
        <v>48</v>
      </c>
      <c r="B12" s="207"/>
      <c r="C12" s="31">
        <v>6000</v>
      </c>
      <c r="D12" s="31">
        <v>12000</v>
      </c>
      <c r="E12" s="31">
        <v>12000</v>
      </c>
      <c r="H12" s="54"/>
      <c r="I12" s="36" t="s">
        <v>63</v>
      </c>
      <c r="J12" s="35">
        <v>4</v>
      </c>
      <c r="K12" s="35">
        <v>2</v>
      </c>
      <c r="L12" s="34">
        <v>0</v>
      </c>
      <c r="M12" s="34">
        <v>0</v>
      </c>
      <c r="N12" s="34">
        <v>1</v>
      </c>
      <c r="O12" s="34">
        <v>0</v>
      </c>
      <c r="P12" s="34">
        <v>0</v>
      </c>
      <c r="Q12" s="34">
        <v>0</v>
      </c>
      <c r="R12" s="34">
        <v>0</v>
      </c>
      <c r="T12" s="48">
        <f t="shared" si="0"/>
        <v>7</v>
      </c>
      <c r="U12" s="48">
        <f t="shared" si="1"/>
        <v>4</v>
      </c>
      <c r="V12" s="48">
        <f t="shared" si="2"/>
        <v>3</v>
      </c>
      <c r="W12" s="48">
        <f t="shared" si="3"/>
        <v>0</v>
      </c>
    </row>
    <row r="13" spans="1:24" ht="27" customHeight="1" x14ac:dyDescent="0.2">
      <c r="A13" s="207" t="s">
        <v>49</v>
      </c>
      <c r="B13" s="207"/>
      <c r="C13" s="31">
        <v>1000</v>
      </c>
      <c r="D13" s="31">
        <v>2500</v>
      </c>
      <c r="E13" s="31">
        <v>5000</v>
      </c>
      <c r="H13" s="55" t="s">
        <v>127</v>
      </c>
      <c r="I13" s="36" t="s">
        <v>62</v>
      </c>
      <c r="J13" s="35">
        <v>5</v>
      </c>
      <c r="K13" s="35">
        <v>3</v>
      </c>
      <c r="L13" s="34">
        <v>0</v>
      </c>
      <c r="M13" s="34">
        <v>0</v>
      </c>
      <c r="N13" s="34">
        <v>2</v>
      </c>
      <c r="O13" s="34">
        <v>0</v>
      </c>
      <c r="P13" s="34">
        <v>0</v>
      </c>
      <c r="Q13" s="34">
        <v>0</v>
      </c>
      <c r="R13" s="34">
        <v>0</v>
      </c>
      <c r="T13" s="48">
        <f t="shared" si="0"/>
        <v>10</v>
      </c>
      <c r="U13" s="48">
        <f t="shared" si="1"/>
        <v>5</v>
      </c>
      <c r="V13" s="48">
        <f t="shared" si="2"/>
        <v>5</v>
      </c>
      <c r="W13" s="48">
        <f t="shared" si="3"/>
        <v>0</v>
      </c>
    </row>
    <row r="14" spans="1:24" ht="27" customHeight="1" x14ac:dyDescent="0.2">
      <c r="A14" s="207" t="s">
        <v>50</v>
      </c>
      <c r="B14" s="207"/>
      <c r="C14" s="31">
        <v>10000</v>
      </c>
      <c r="D14" s="31">
        <v>20000</v>
      </c>
      <c r="E14" s="31">
        <v>20000</v>
      </c>
      <c r="I14" s="36" t="s">
        <v>64</v>
      </c>
      <c r="J14" s="35">
        <v>7</v>
      </c>
      <c r="K14" s="35">
        <v>5</v>
      </c>
      <c r="L14" s="35">
        <v>0</v>
      </c>
      <c r="M14" s="35">
        <v>1</v>
      </c>
      <c r="N14" s="35">
        <v>4</v>
      </c>
      <c r="O14" s="35">
        <v>0</v>
      </c>
      <c r="P14" s="35">
        <v>0</v>
      </c>
      <c r="Q14" s="35">
        <v>1</v>
      </c>
      <c r="R14" s="35">
        <v>0</v>
      </c>
      <c r="T14" s="48">
        <f t="shared" si="0"/>
        <v>18</v>
      </c>
      <c r="U14" s="48">
        <f t="shared" si="1"/>
        <v>8</v>
      </c>
      <c r="V14" s="48">
        <f t="shared" si="2"/>
        <v>10</v>
      </c>
      <c r="W14" s="48">
        <f t="shared" si="3"/>
        <v>0</v>
      </c>
      <c r="X14" s="51"/>
    </row>
    <row r="15" spans="1:24" ht="27" customHeight="1" x14ac:dyDescent="0.2">
      <c r="A15" s="207" t="s">
        <v>53</v>
      </c>
      <c r="B15" s="207"/>
      <c r="C15" s="31">
        <v>1500</v>
      </c>
      <c r="D15" s="31">
        <v>4000</v>
      </c>
      <c r="E15" s="31">
        <v>7500</v>
      </c>
      <c r="I15" s="36" t="s">
        <v>65</v>
      </c>
      <c r="J15" s="35">
        <v>9</v>
      </c>
      <c r="K15" s="35">
        <v>7</v>
      </c>
      <c r="L15" s="35">
        <v>0</v>
      </c>
      <c r="M15" s="35">
        <v>2</v>
      </c>
      <c r="N15" s="35">
        <v>7</v>
      </c>
      <c r="O15" s="35">
        <v>0</v>
      </c>
      <c r="P15" s="35">
        <v>0</v>
      </c>
      <c r="Q15" s="35">
        <v>3</v>
      </c>
      <c r="R15" s="35">
        <v>1</v>
      </c>
      <c r="T15" s="48">
        <f t="shared" si="0"/>
        <v>29</v>
      </c>
      <c r="U15" s="48">
        <f t="shared" si="1"/>
        <v>11</v>
      </c>
      <c r="V15" s="48">
        <f t="shared" si="2"/>
        <v>17</v>
      </c>
      <c r="W15" s="48">
        <f t="shared" si="3"/>
        <v>1</v>
      </c>
    </row>
    <row r="16" spans="1:24" ht="27" customHeight="1" x14ac:dyDescent="0.2">
      <c r="A16" s="207" t="s">
        <v>90</v>
      </c>
      <c r="B16" s="207"/>
      <c r="C16" s="31">
        <v>220</v>
      </c>
      <c r="D16" s="31">
        <v>300</v>
      </c>
      <c r="E16" s="31">
        <v>800</v>
      </c>
      <c r="I16" s="36" t="s">
        <v>66</v>
      </c>
      <c r="J16" s="35">
        <v>14</v>
      </c>
      <c r="K16" s="35">
        <v>9</v>
      </c>
      <c r="L16" s="35">
        <v>0</v>
      </c>
      <c r="M16" s="35">
        <v>4</v>
      </c>
      <c r="N16" s="35">
        <v>10</v>
      </c>
      <c r="O16" s="35">
        <v>1</v>
      </c>
      <c r="P16" s="35">
        <v>1</v>
      </c>
      <c r="Q16" s="35">
        <v>5</v>
      </c>
      <c r="R16" s="35">
        <v>2</v>
      </c>
      <c r="T16" s="48">
        <f t="shared" si="0"/>
        <v>46</v>
      </c>
      <c r="U16" s="48">
        <f t="shared" si="1"/>
        <v>19</v>
      </c>
      <c r="V16" s="48">
        <f t="shared" si="2"/>
        <v>24</v>
      </c>
      <c r="W16" s="48">
        <f t="shared" si="3"/>
        <v>3</v>
      </c>
    </row>
    <row r="17" spans="1:23" ht="27" customHeight="1" x14ac:dyDescent="0.2">
      <c r="I17" s="36" t="s">
        <v>67</v>
      </c>
      <c r="J17" s="35">
        <v>16</v>
      </c>
      <c r="K17" s="35">
        <v>11</v>
      </c>
      <c r="L17" s="35">
        <v>0</v>
      </c>
      <c r="M17" s="35">
        <v>6</v>
      </c>
      <c r="N17" s="35">
        <v>12</v>
      </c>
      <c r="O17" s="35">
        <v>2</v>
      </c>
      <c r="P17" s="35">
        <v>2</v>
      </c>
      <c r="Q17" s="35">
        <v>8</v>
      </c>
      <c r="R17" s="35">
        <v>3</v>
      </c>
      <c r="T17" s="48">
        <f t="shared" si="0"/>
        <v>60</v>
      </c>
      <c r="U17" s="48">
        <f t="shared" si="1"/>
        <v>24</v>
      </c>
      <c r="V17" s="48">
        <f t="shared" si="2"/>
        <v>31</v>
      </c>
      <c r="W17" s="48">
        <f t="shared" si="3"/>
        <v>5</v>
      </c>
    </row>
    <row r="18" spans="1:23" ht="27" customHeight="1" x14ac:dyDescent="0.2">
      <c r="I18" s="36" t="s">
        <v>68</v>
      </c>
      <c r="J18" s="35">
        <v>22</v>
      </c>
      <c r="K18" s="35">
        <v>15</v>
      </c>
      <c r="L18" s="35">
        <v>0</v>
      </c>
      <c r="M18" s="35">
        <v>10</v>
      </c>
      <c r="N18" s="35">
        <v>16</v>
      </c>
      <c r="O18" s="35">
        <v>4</v>
      </c>
      <c r="P18" s="35">
        <v>4</v>
      </c>
      <c r="Q18" s="35">
        <v>13</v>
      </c>
      <c r="R18" s="35">
        <v>4</v>
      </c>
      <c r="T18" s="48">
        <f t="shared" si="0"/>
        <v>88</v>
      </c>
      <c r="U18" s="48">
        <f t="shared" si="1"/>
        <v>36</v>
      </c>
      <c r="V18" s="48">
        <f t="shared" si="2"/>
        <v>44</v>
      </c>
      <c r="W18" s="48">
        <f t="shared" si="3"/>
        <v>8</v>
      </c>
    </row>
    <row r="19" spans="1:23" ht="27" customHeight="1" x14ac:dyDescent="0.2">
      <c r="I19" s="36" t="s">
        <v>69</v>
      </c>
      <c r="J19" s="35">
        <v>27</v>
      </c>
      <c r="K19" s="35">
        <v>18</v>
      </c>
      <c r="L19" s="35">
        <v>2</v>
      </c>
      <c r="M19" s="35">
        <v>11</v>
      </c>
      <c r="N19" s="35">
        <v>19</v>
      </c>
      <c r="O19" s="35">
        <v>5</v>
      </c>
      <c r="P19" s="35">
        <v>4</v>
      </c>
      <c r="Q19" s="35">
        <v>19</v>
      </c>
      <c r="R19" s="35">
        <v>7</v>
      </c>
      <c r="T19" s="48">
        <f t="shared" si="0"/>
        <v>112</v>
      </c>
      <c r="U19" s="48">
        <f t="shared" si="1"/>
        <v>42</v>
      </c>
      <c r="V19" s="48">
        <f t="shared" si="2"/>
        <v>56</v>
      </c>
      <c r="W19" s="48">
        <f t="shared" si="3"/>
        <v>14</v>
      </c>
    </row>
    <row r="20" spans="1:23" ht="22" x14ac:dyDescent="0.3">
      <c r="A20" s="2" t="s">
        <v>79</v>
      </c>
      <c r="I20" s="50" t="s">
        <v>114</v>
      </c>
      <c r="J20" s="48">
        <f>SUM(J10:J19)</f>
        <v>109</v>
      </c>
      <c r="K20" s="48">
        <f t="shared" ref="K20:R20" si="4">SUM(K10:K19)</f>
        <v>71</v>
      </c>
      <c r="L20" s="48">
        <f t="shared" si="4"/>
        <v>2</v>
      </c>
      <c r="M20" s="48">
        <f t="shared" si="4"/>
        <v>34</v>
      </c>
      <c r="N20" s="48">
        <f t="shared" si="4"/>
        <v>72</v>
      </c>
      <c r="O20" s="48">
        <f t="shared" si="4"/>
        <v>12</v>
      </c>
      <c r="P20" s="48">
        <f t="shared" si="4"/>
        <v>11</v>
      </c>
      <c r="Q20" s="48">
        <f t="shared" si="4"/>
        <v>49</v>
      </c>
      <c r="R20" s="48">
        <f t="shared" si="4"/>
        <v>17</v>
      </c>
      <c r="T20" s="48">
        <f>SUM(J20:R20)</f>
        <v>377</v>
      </c>
      <c r="U20" s="48">
        <f>J20+M20+P20</f>
        <v>154</v>
      </c>
      <c r="V20" s="48">
        <f>K20+N20+Q20</f>
        <v>192</v>
      </c>
      <c r="W20" s="48">
        <f>L20+O20+R20</f>
        <v>31</v>
      </c>
    </row>
    <row r="21" spans="1:23" x14ac:dyDescent="0.2">
      <c r="K21" s="30"/>
      <c r="L21" s="30"/>
      <c r="M21" s="30"/>
      <c r="N21" s="30"/>
      <c r="O21" s="30"/>
      <c r="P21" s="30"/>
      <c r="Q21" s="30"/>
      <c r="R21" s="30"/>
    </row>
    <row r="22" spans="1:23" ht="32" x14ac:dyDescent="0.2">
      <c r="A22" s="37" t="s">
        <v>54</v>
      </c>
      <c r="B22" s="37" t="s">
        <v>74</v>
      </c>
      <c r="C22" s="37" t="s">
        <v>75</v>
      </c>
      <c r="D22" s="37" t="s">
        <v>76</v>
      </c>
      <c r="E22" s="37" t="s">
        <v>89</v>
      </c>
      <c r="F22" s="37" t="s">
        <v>91</v>
      </c>
      <c r="G22" s="37" t="s">
        <v>92</v>
      </c>
      <c r="I22" s="28"/>
      <c r="J22" s="30"/>
    </row>
    <row r="23" spans="1:23" ht="16" x14ac:dyDescent="0.2">
      <c r="A23" s="33" t="s">
        <v>60</v>
      </c>
      <c r="B23" s="31">
        <f>J10*C10+K10*D10+L10*E10+M10*C12+N10*D12+O10*E12+P10*C14+Q10*D14+R10*E14</f>
        <v>8000</v>
      </c>
      <c r="C23" s="31">
        <f>(J10*C11+K10*D11+L10*E11+M10*C13+N10*D13+O10*E13+P10*C15+Q10*D15+R10*E15)*3</f>
        <v>3600</v>
      </c>
      <c r="D23" s="31">
        <f>SUM(B23:C23)</f>
        <v>11600</v>
      </c>
      <c r="E23" s="31">
        <f>(((J10+M10+P10)*C16)+((K10+N10+Q10)*D16)+((L10+O10+R10)*E16))</f>
        <v>440</v>
      </c>
      <c r="F23" s="31">
        <f>E23</f>
        <v>440</v>
      </c>
      <c r="G23" s="31">
        <f>D23-F23</f>
        <v>11160</v>
      </c>
      <c r="I23" s="28"/>
      <c r="J23" s="30"/>
      <c r="K23" s="27"/>
      <c r="L23" s="27"/>
      <c r="M23" s="27"/>
    </row>
    <row r="24" spans="1:23" ht="16" x14ac:dyDescent="0.2">
      <c r="A24" s="33" t="s">
        <v>61</v>
      </c>
      <c r="B24" s="31">
        <f>J11*C10+K11*D10+L11*E10+M11*C12+N11*D12+O11*E12+P11*C14+Q11*D14+R11*E14</f>
        <v>32000</v>
      </c>
      <c r="C24" s="31">
        <f>((J11*C11+K11*D11+L11*E11+M11*C13+N11*D13+O11*E13+P11*C15+Q11*D15+R11*E15)*3)+C23</f>
        <v>19500</v>
      </c>
      <c r="D24" s="31">
        <f t="shared" ref="D24:D30" si="5">SUM(B24:C24)</f>
        <v>51500</v>
      </c>
      <c r="E24" s="31">
        <f>(((J11+M11+P11)*C16)+((K11+N11+Q11)*D16)+((L11+O11+R11)*E16))</f>
        <v>1260</v>
      </c>
      <c r="F24" s="31">
        <f>E24+F23</f>
        <v>1700</v>
      </c>
      <c r="G24" s="31">
        <f t="shared" ref="G24:G30" si="6">D24-F24</f>
        <v>49800</v>
      </c>
      <c r="I24" s="28"/>
      <c r="J24" s="30"/>
      <c r="K24" s="29"/>
      <c r="L24" s="28"/>
      <c r="M24" s="28"/>
    </row>
    <row r="25" spans="1:23" ht="16" x14ac:dyDescent="0.2">
      <c r="A25" s="33" t="s">
        <v>63</v>
      </c>
      <c r="B25" s="31">
        <f>J12*C10+K12*D10+L12*E10+M12*C12+N12*D12+O12*E12+P12*C14+Q12*D14+R12*E14</f>
        <v>44000</v>
      </c>
      <c r="C25" s="31">
        <f>((J12*C11+K12*D11+L12*E11+M12*C13+N12*D13+O12*E13+P12*C15+Q12*D15+R12*E15)*3)+C24</f>
        <v>40200</v>
      </c>
      <c r="D25" s="31">
        <f t="shared" si="5"/>
        <v>84200</v>
      </c>
      <c r="E25" s="31">
        <f>(((J12+M12+P12)*C16)+((K12+N12+Q12)*D16)+((L12+O12+R12)*E16))</f>
        <v>1780</v>
      </c>
      <c r="F25" s="31">
        <f t="shared" ref="F25:F30" si="7">E25+F24</f>
        <v>3480</v>
      </c>
      <c r="G25" s="31">
        <f t="shared" si="6"/>
        <v>80720</v>
      </c>
      <c r="K25" s="29"/>
    </row>
    <row r="26" spans="1:23" ht="16" x14ac:dyDescent="0.2">
      <c r="A26" s="33" t="s">
        <v>62</v>
      </c>
      <c r="B26" s="31">
        <f>J13*C10+K13*D10+L13*E10+M13*C12+N13*D12+O13*E12+P13*C14+Q13*D14+R13*E14</f>
        <v>68000</v>
      </c>
      <c r="C26" s="31">
        <f>((J13*C11+K13*D11+L13*E11+M13*C13+N13*D13+O13*E13+P13*C15+Q13*D15+R13*E15)*3)+C25</f>
        <v>73200</v>
      </c>
      <c r="D26" s="31">
        <f t="shared" si="5"/>
        <v>141200</v>
      </c>
      <c r="E26" s="31">
        <f>(((J13+M13+P13)*C16)+((K13+N13+Q13)*D16)+((L13+O13+R13)*E16))</f>
        <v>2600</v>
      </c>
      <c r="F26" s="31">
        <f t="shared" si="7"/>
        <v>6080</v>
      </c>
      <c r="G26" s="31">
        <f t="shared" si="6"/>
        <v>135120</v>
      </c>
      <c r="H26" s="38" t="s">
        <v>93</v>
      </c>
      <c r="I26" s="39">
        <f>SUM(D23:D26)</f>
        <v>288500</v>
      </c>
    </row>
    <row r="27" spans="1:23" ht="16" x14ac:dyDescent="0.2">
      <c r="A27" s="33" t="s">
        <v>64</v>
      </c>
      <c r="B27" s="31">
        <f>J14*C10+K14*D10+L14*E10+M14*C12+N14*D12+O14*E12+P14*C14+Q14*D14+R14*E14</f>
        <v>142000</v>
      </c>
      <c r="C27" s="31">
        <f>((J14*C11+K14*D11+L14*E11+M14*C13+N14*D13+O14*E13+P14*C15+Q14*D15+R14*E15)*3)+C26</f>
        <v>145800</v>
      </c>
      <c r="D27" s="31">
        <f t="shared" si="5"/>
        <v>287800</v>
      </c>
      <c r="E27" s="31">
        <f>(((J14+M14+P14)*C16)+((K14+N14+Q14)*D16)+((L14+O14+R14)*E16))</f>
        <v>4760</v>
      </c>
      <c r="F27" s="31">
        <f t="shared" si="7"/>
        <v>10840</v>
      </c>
      <c r="G27" s="31">
        <f t="shared" si="6"/>
        <v>276960</v>
      </c>
      <c r="H27" s="38" t="s">
        <v>94</v>
      </c>
      <c r="I27" s="39">
        <f>SUM(G23:G26)</f>
        <v>276800</v>
      </c>
    </row>
    <row r="28" spans="1:23" ht="16" x14ac:dyDescent="0.2">
      <c r="A28" s="33" t="s">
        <v>65</v>
      </c>
      <c r="B28" s="31">
        <f>J15*C10+K15*D10+L15*E10+M15*C12+N15*D12+O15*E12+P15*C14+Q15*D14+R15*E14</f>
        <v>268000</v>
      </c>
      <c r="C28" s="31">
        <f>((J15*C11+K15*D11+L15*E11+M15*C13+N15*D13+O15*E13+P15*C15+Q15*D15+R15*E15)*3)+C27</f>
        <v>300000</v>
      </c>
      <c r="D28" s="31">
        <f t="shared" si="5"/>
        <v>568000</v>
      </c>
      <c r="E28" s="31">
        <f>(((J15+M15+P15)*C16)+((K15+N15+Q15)*D16)+((L15+O15+R15)*E16))</f>
        <v>8320</v>
      </c>
      <c r="F28" s="31">
        <f t="shared" si="7"/>
        <v>19160</v>
      </c>
      <c r="G28" s="31">
        <f t="shared" si="6"/>
        <v>548840</v>
      </c>
    </row>
    <row r="29" spans="1:23" ht="16" x14ac:dyDescent="0.2">
      <c r="A29" s="33" t="s">
        <v>66</v>
      </c>
      <c r="B29" s="31">
        <f>J16*C10+K16*D10+L16*E10+M16*C12+N16*D12+O16*E12+P16*C14+Q16*D14+R16*E14</f>
        <v>434000</v>
      </c>
      <c r="C29" s="31">
        <f>((J16*C11+K16*D11+L16*E11+M16*C13+N16*D13+O16*E13+P16*C15+Q16*D15+R16*E15)*3)+C28</f>
        <v>563700</v>
      </c>
      <c r="D29" s="31">
        <f t="shared" si="5"/>
        <v>997700</v>
      </c>
      <c r="E29" s="31">
        <f>(((J16+M16+P16)*C16)+((K16+N16+Q16)*D16)+((L16+O16+R16)*E16))</f>
        <v>13780</v>
      </c>
      <c r="F29" s="31">
        <f t="shared" si="7"/>
        <v>32940</v>
      </c>
      <c r="G29" s="31">
        <f t="shared" si="6"/>
        <v>964760</v>
      </c>
    </row>
    <row r="30" spans="1:23" ht="16" x14ac:dyDescent="0.2">
      <c r="A30" s="33" t="s">
        <v>67</v>
      </c>
      <c r="B30" s="31">
        <f>J17*C10+K17*D10+L17*E10+M17*C12+N17*D12+O17*E12+P17*C14+Q17*D14+R17*E14</f>
        <v>596000</v>
      </c>
      <c r="C30" s="31">
        <f>((J17*C11+K17*D11+L17*E11+M17*C13+N17*D13+O17*E13+P17*C15+Q17*D15+R17*E15)*3)+C29</f>
        <v>936000</v>
      </c>
      <c r="D30" s="31">
        <f t="shared" si="5"/>
        <v>1532000</v>
      </c>
      <c r="E30" s="31">
        <f>(((J17+M17+P17)*C16)+((K17+N17+Q17)*D16)+((L17+O17+R17)*E16))</f>
        <v>18580</v>
      </c>
      <c r="F30" s="31">
        <f t="shared" si="7"/>
        <v>51520</v>
      </c>
      <c r="G30" s="31">
        <f t="shared" si="6"/>
        <v>1480480</v>
      </c>
      <c r="H30" s="6" t="s">
        <v>95</v>
      </c>
      <c r="I30" s="40">
        <f>SUM(D27:D30)</f>
        <v>3385500</v>
      </c>
    </row>
    <row r="31" spans="1:23" ht="16" x14ac:dyDescent="0.2">
      <c r="A31" s="33" t="s">
        <v>68</v>
      </c>
      <c r="B31" s="31">
        <f>J18*C10+K18*D10+L18*E10+M18*C12+N18*D12+O18*E12+P18*C14+Q18*D14+R18*E14</f>
        <v>888000</v>
      </c>
      <c r="C31" s="31">
        <f>((J18*C11+K18*D11+L18*E11+M18*C13+N18*D13+O18*E13+P18*C15+Q18*D15+R18*E15)*3)+C30</f>
        <v>1494600</v>
      </c>
      <c r="D31" s="31">
        <f>SUM(B31:C31)</f>
        <v>2382600</v>
      </c>
      <c r="E31" s="31">
        <f>(((J18+M18+P18)*C16)+((K18+N18+Q18)*D16)+((L18+O18+R18)*E16))</f>
        <v>27520</v>
      </c>
      <c r="F31" s="31">
        <f>E31+F30</f>
        <v>79040</v>
      </c>
      <c r="G31" s="31">
        <f>D31-F31</f>
        <v>2303560</v>
      </c>
      <c r="H31" s="6" t="s">
        <v>96</v>
      </c>
      <c r="I31" s="40">
        <f>SUM(G27:G30)</f>
        <v>3271040</v>
      </c>
    </row>
    <row r="32" spans="1:23" ht="16" x14ac:dyDescent="0.2">
      <c r="A32" s="33" t="s">
        <v>69</v>
      </c>
      <c r="B32" s="31">
        <f>J19*C10+K19*D10+L19*E10+M19*C12+N19*D12+O19*E12+P19*C14+Q19*D14+R19*E14</f>
        <v>1182000</v>
      </c>
      <c r="C32" s="31">
        <f>((J19*C11+K19*D11+L19*E11+M19*C13+N19*D13+O19*E13+P19*C15+Q19*D15+R19*E15)*3)+C31</f>
        <v>2275200</v>
      </c>
      <c r="D32" s="31">
        <f>SUM(B32:C32)</f>
        <v>3457200</v>
      </c>
      <c r="E32" s="31">
        <f>(((J19+M19+P19)*C16)+((K19+N19+Q19)*D16)+((L19+O19+R19)*E16))</f>
        <v>37240</v>
      </c>
      <c r="F32" s="31">
        <f>E32+F31</f>
        <v>116280</v>
      </c>
      <c r="G32" s="31">
        <f>D32-F32</f>
        <v>3340920</v>
      </c>
    </row>
  </sheetData>
  <mergeCells count="8">
    <mergeCell ref="A9:B9"/>
    <mergeCell ref="A16:B16"/>
    <mergeCell ref="A10:B10"/>
    <mergeCell ref="A11:B11"/>
    <mergeCell ref="A12:B12"/>
    <mergeCell ref="A13:B13"/>
    <mergeCell ref="A14:B14"/>
    <mergeCell ref="A15:B15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A2B7-7D62-A341-8F77-930D746750F2}">
  <dimension ref="A1"/>
  <sheetViews>
    <sheetView workbookViewId="0">
      <selection activeCell="C32" sqref="C32"/>
    </sheetView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19D0-B978-8F49-92AA-98215CDCB839}">
  <dimension ref="A1:F63"/>
  <sheetViews>
    <sheetView zoomScale="84" zoomScaleNormal="50" workbookViewId="0">
      <selection activeCell="E61" sqref="E61"/>
    </sheetView>
  </sheetViews>
  <sheetFormatPr baseColWidth="10" defaultRowHeight="15" x14ac:dyDescent="0.2"/>
  <cols>
    <col min="1" max="1" width="28.5" customWidth="1"/>
    <col min="2" max="2" width="33.6640625" customWidth="1"/>
    <col min="3" max="3" width="51" customWidth="1"/>
    <col min="4" max="4" width="44" customWidth="1"/>
    <col min="5" max="5" width="40" customWidth="1"/>
    <col min="6" max="6" width="34.1640625" customWidth="1"/>
  </cols>
  <sheetData>
    <row r="1" spans="1:6" ht="19" x14ac:dyDescent="0.25">
      <c r="A1" s="61" t="s">
        <v>54</v>
      </c>
      <c r="B1" s="61" t="s">
        <v>224</v>
      </c>
      <c r="C1" s="61" t="s">
        <v>225</v>
      </c>
      <c r="D1" s="150" t="s">
        <v>245</v>
      </c>
      <c r="E1" s="61" t="s">
        <v>228</v>
      </c>
      <c r="F1" s="150" t="s">
        <v>148</v>
      </c>
    </row>
    <row r="2" spans="1:6" ht="19" x14ac:dyDescent="0.25">
      <c r="A2" s="153">
        <v>1</v>
      </c>
      <c r="B2" s="152">
        <f>'Employee Plan'!C16</f>
        <v>57247.5</v>
      </c>
      <c r="C2" s="152">
        <f>'Fixed Cost'!B20 * 3</f>
        <v>15234</v>
      </c>
      <c r="D2" s="152">
        <v>0</v>
      </c>
      <c r="E2" s="157">
        <v>0</v>
      </c>
      <c r="F2" s="152">
        <f>SUM(B2:E2)</f>
        <v>72481.5</v>
      </c>
    </row>
    <row r="3" spans="1:6" ht="19" x14ac:dyDescent="0.25">
      <c r="A3" s="153">
        <v>2</v>
      </c>
      <c r="B3" s="152">
        <f>'Employee Plan'!C32</f>
        <v>58777.5</v>
      </c>
      <c r="C3" s="152">
        <f>'Fixed Cost'!B20 * 3</f>
        <v>15234</v>
      </c>
      <c r="D3" s="152">
        <v>0</v>
      </c>
      <c r="E3" s="157">
        <v>0</v>
      </c>
      <c r="F3" s="152">
        <f t="shared" ref="F3:F13" si="0">SUM(B3:E3)</f>
        <v>74011.5</v>
      </c>
    </row>
    <row r="4" spans="1:6" ht="19" x14ac:dyDescent="0.25">
      <c r="A4" s="153">
        <v>3</v>
      </c>
      <c r="B4" s="152">
        <f>'Employee Plan'!C49</f>
        <v>62092.5</v>
      </c>
      <c r="C4" s="152">
        <f>'Fixed Cost'!B20 * 3</f>
        <v>15234</v>
      </c>
      <c r="D4" s="152">
        <v>0</v>
      </c>
      <c r="E4" s="157">
        <f>'Earning Projections'!E23</f>
        <v>440</v>
      </c>
      <c r="F4" s="152">
        <f t="shared" si="0"/>
        <v>77766.5</v>
      </c>
    </row>
    <row r="5" spans="1:6" ht="19" x14ac:dyDescent="0.25">
      <c r="A5" s="153">
        <v>4</v>
      </c>
      <c r="B5" s="152">
        <f>'Employee Plan'!C66</f>
        <v>63622.5</v>
      </c>
      <c r="C5" s="152">
        <f>'Fixed Cost'!B20 * 3</f>
        <v>15234</v>
      </c>
      <c r="D5" s="152">
        <v>0</v>
      </c>
      <c r="E5" s="157">
        <f>'Earning Projections'!E24</f>
        <v>1260</v>
      </c>
      <c r="F5" s="152">
        <f t="shared" si="0"/>
        <v>80116.5</v>
      </c>
    </row>
    <row r="6" spans="1:6" ht="19" x14ac:dyDescent="0.25">
      <c r="A6" s="153">
        <v>5</v>
      </c>
      <c r="B6" s="152">
        <f>'Employee Plan'!C88</f>
        <v>85705.5</v>
      </c>
      <c r="C6" s="152">
        <f>'Fixed Cost'!B20 * 3</f>
        <v>15234</v>
      </c>
      <c r="D6" s="152">
        <v>0</v>
      </c>
      <c r="E6" s="157">
        <f>'Earning Projections'!E25</f>
        <v>1780</v>
      </c>
      <c r="F6" s="152">
        <f t="shared" si="0"/>
        <v>102719.5</v>
      </c>
    </row>
    <row r="7" spans="1:6" ht="19" x14ac:dyDescent="0.25">
      <c r="A7" s="153">
        <v>6</v>
      </c>
      <c r="B7" s="152">
        <f>'Employee Plan'!C88</f>
        <v>85705.5</v>
      </c>
      <c r="C7" s="152">
        <f>'Fixed Cost'!B20 * 3</f>
        <v>15234</v>
      </c>
      <c r="D7" s="152">
        <v>0</v>
      </c>
      <c r="E7" s="157">
        <f>'Earning Projections'!E26</f>
        <v>2600</v>
      </c>
      <c r="F7" s="152">
        <f t="shared" si="0"/>
        <v>103539.5</v>
      </c>
    </row>
    <row r="8" spans="1:6" ht="19" x14ac:dyDescent="0.25">
      <c r="A8" s="153">
        <v>7</v>
      </c>
      <c r="B8" s="152">
        <f>'Employee Plan'!C125</f>
        <v>94885.5</v>
      </c>
      <c r="C8" s="152">
        <f>'Fixed Cost'!B20 * 3</f>
        <v>15234</v>
      </c>
      <c r="D8" s="152">
        <v>0</v>
      </c>
      <c r="E8" s="157">
        <f>'Earning Projections'!E27</f>
        <v>4760</v>
      </c>
      <c r="F8" s="152">
        <f t="shared" si="0"/>
        <v>114879.5</v>
      </c>
    </row>
    <row r="9" spans="1:6" ht="19" x14ac:dyDescent="0.25">
      <c r="A9" s="153">
        <v>8</v>
      </c>
      <c r="B9" s="152">
        <f>'Employee Plan'!C125</f>
        <v>94885.5</v>
      </c>
      <c r="C9" s="152">
        <f>'Fixed Cost'!B20 * 3</f>
        <v>15234</v>
      </c>
      <c r="D9" s="152">
        <v>0</v>
      </c>
      <c r="E9" s="157">
        <f>'Earning Projections'!E28</f>
        <v>8320</v>
      </c>
      <c r="F9" s="152">
        <f t="shared" si="0"/>
        <v>118439.5</v>
      </c>
    </row>
    <row r="10" spans="1:6" ht="19" x14ac:dyDescent="0.25">
      <c r="A10" s="153">
        <v>9</v>
      </c>
      <c r="B10" s="152"/>
      <c r="C10" s="152">
        <f>'Fixed Cost'!B28</f>
        <v>0</v>
      </c>
      <c r="D10" s="152">
        <v>0</v>
      </c>
      <c r="E10" s="157">
        <f>'Earning Projections'!E29</f>
        <v>13780</v>
      </c>
      <c r="F10" s="152">
        <f t="shared" si="0"/>
        <v>13780</v>
      </c>
    </row>
    <row r="11" spans="1:6" ht="19" x14ac:dyDescent="0.25">
      <c r="A11" s="153">
        <v>10</v>
      </c>
      <c r="B11" s="152"/>
      <c r="C11" s="152">
        <f>'Fixed Cost'!B29</f>
        <v>0</v>
      </c>
      <c r="D11" s="152">
        <v>0</v>
      </c>
      <c r="E11" s="157">
        <f>'Earning Projections'!E30</f>
        <v>18580</v>
      </c>
      <c r="F11" s="152">
        <f t="shared" si="0"/>
        <v>18580</v>
      </c>
    </row>
    <row r="12" spans="1:6" ht="19" x14ac:dyDescent="0.25">
      <c r="A12" s="153">
        <v>11</v>
      </c>
      <c r="B12" s="152"/>
      <c r="C12" s="152">
        <f>'Fixed Cost'!B30</f>
        <v>0</v>
      </c>
      <c r="D12" s="152">
        <v>0</v>
      </c>
      <c r="E12" s="157">
        <f>'Earning Projections'!E31</f>
        <v>27520</v>
      </c>
      <c r="F12" s="152">
        <f t="shared" si="0"/>
        <v>27520</v>
      </c>
    </row>
    <row r="13" spans="1:6" ht="19" x14ac:dyDescent="0.25">
      <c r="A13" s="153">
        <v>12</v>
      </c>
      <c r="B13" s="152"/>
      <c r="C13" s="152">
        <f>'Fixed Cost'!B31</f>
        <v>0</v>
      </c>
      <c r="D13" s="152">
        <v>0</v>
      </c>
      <c r="E13" s="157">
        <f>'Earning Projections'!E32</f>
        <v>37240</v>
      </c>
      <c r="F13" s="152">
        <f t="shared" si="0"/>
        <v>37240</v>
      </c>
    </row>
    <row r="14" spans="1:6" ht="20" customHeight="1" x14ac:dyDescent="0.25">
      <c r="A14" s="151" t="s">
        <v>146</v>
      </c>
      <c r="B14" s="154">
        <f>SUM(B2:B13)</f>
        <v>602922</v>
      </c>
      <c r="C14" s="154">
        <f t="shared" ref="C14:D14" si="1">SUM(C2:C13)</f>
        <v>121872</v>
      </c>
      <c r="D14" s="154">
        <f t="shared" si="1"/>
        <v>0</v>
      </c>
      <c r="E14" s="154">
        <f>SUM(E2:E13)</f>
        <v>116280</v>
      </c>
      <c r="F14" s="154">
        <f t="shared" ref="F14" si="2">SUM(F2:F13)</f>
        <v>841074</v>
      </c>
    </row>
    <row r="16" spans="1:6" ht="19" x14ac:dyDescent="0.25">
      <c r="A16" s="61" t="s">
        <v>54</v>
      </c>
      <c r="B16" s="61" t="s">
        <v>227</v>
      </c>
      <c r="C16" s="61" t="s">
        <v>226</v>
      </c>
      <c r="D16" s="61" t="s">
        <v>232</v>
      </c>
      <c r="E16" s="61" t="s">
        <v>229</v>
      </c>
    </row>
    <row r="17" spans="1:5" ht="19" x14ac:dyDescent="0.25">
      <c r="A17" s="153">
        <v>1</v>
      </c>
      <c r="B17" s="157">
        <v>0</v>
      </c>
      <c r="C17" s="157">
        <v>0</v>
      </c>
      <c r="D17" s="157">
        <f>'Fixed Cost'!C35 * 3</f>
        <v>0</v>
      </c>
      <c r="E17" s="159">
        <f>D17-D2</f>
        <v>0</v>
      </c>
    </row>
    <row r="18" spans="1:5" ht="19" x14ac:dyDescent="0.25">
      <c r="A18" s="153">
        <v>2</v>
      </c>
      <c r="B18" s="157">
        <v>0</v>
      </c>
      <c r="C18" s="157">
        <v>0</v>
      </c>
      <c r="D18" s="157">
        <f>'Fixed Cost'!C35 * 3</f>
        <v>0</v>
      </c>
      <c r="E18" s="159">
        <f t="shared" ref="E18" si="3">D18-D3</f>
        <v>0</v>
      </c>
    </row>
    <row r="19" spans="1:5" ht="19" x14ac:dyDescent="0.25">
      <c r="A19" s="153">
        <v>3</v>
      </c>
      <c r="B19" s="157">
        <f>'Earning Projections'!C23</f>
        <v>3600</v>
      </c>
      <c r="C19" s="157">
        <f>'Earning Projections'!B23</f>
        <v>8000</v>
      </c>
      <c r="D19" s="157">
        <f t="shared" ref="D19:D28" si="4">SUM(B19,C19)</f>
        <v>11600</v>
      </c>
      <c r="E19" s="159">
        <f>D19-D4</f>
        <v>11600</v>
      </c>
    </row>
    <row r="20" spans="1:5" ht="19" x14ac:dyDescent="0.25">
      <c r="A20" s="153">
        <v>4</v>
      </c>
      <c r="B20" s="157">
        <f>'Earning Projections'!C24</f>
        <v>19500</v>
      </c>
      <c r="C20" s="157">
        <f>'Earning Projections'!B24</f>
        <v>32000</v>
      </c>
      <c r="D20" s="157">
        <f t="shared" si="4"/>
        <v>51500</v>
      </c>
      <c r="E20" s="159">
        <f t="shared" ref="E20:E28" si="5">D20-D5</f>
        <v>51500</v>
      </c>
    </row>
    <row r="21" spans="1:5" ht="19" x14ac:dyDescent="0.25">
      <c r="A21" s="153">
        <v>5</v>
      </c>
      <c r="B21" s="157">
        <f>'Earning Projections'!C25</f>
        <v>40200</v>
      </c>
      <c r="C21" s="157">
        <f>'Earning Projections'!B25</f>
        <v>44000</v>
      </c>
      <c r="D21" s="157">
        <f t="shared" si="4"/>
        <v>84200</v>
      </c>
      <c r="E21" s="159">
        <f t="shared" si="5"/>
        <v>84200</v>
      </c>
    </row>
    <row r="22" spans="1:5" ht="19" x14ac:dyDescent="0.25">
      <c r="A22" s="153">
        <v>6</v>
      </c>
      <c r="B22" s="157">
        <f>'Earning Projections'!C26</f>
        <v>73200</v>
      </c>
      <c r="C22" s="157">
        <f>'Earning Projections'!B26</f>
        <v>68000</v>
      </c>
      <c r="D22" s="157">
        <f t="shared" si="4"/>
        <v>141200</v>
      </c>
      <c r="E22" s="158">
        <f t="shared" si="5"/>
        <v>141200</v>
      </c>
    </row>
    <row r="23" spans="1:5" ht="19" x14ac:dyDescent="0.25">
      <c r="A23" s="153">
        <v>7</v>
      </c>
      <c r="B23" s="157">
        <f>'Earning Projections'!C27</f>
        <v>145800</v>
      </c>
      <c r="C23" s="157">
        <f>'Earning Projections'!B27</f>
        <v>142000</v>
      </c>
      <c r="D23" s="157">
        <f t="shared" si="4"/>
        <v>287800</v>
      </c>
      <c r="E23" s="158">
        <f t="shared" si="5"/>
        <v>287800</v>
      </c>
    </row>
    <row r="24" spans="1:5" ht="19" x14ac:dyDescent="0.25">
      <c r="A24" s="153">
        <v>8</v>
      </c>
      <c r="B24" s="157">
        <f>'Earning Projections'!C28</f>
        <v>300000</v>
      </c>
      <c r="C24" s="157">
        <f>'Earning Projections'!B28</f>
        <v>268000</v>
      </c>
      <c r="D24" s="157">
        <f t="shared" si="4"/>
        <v>568000</v>
      </c>
      <c r="E24" s="158">
        <f t="shared" si="5"/>
        <v>568000</v>
      </c>
    </row>
    <row r="25" spans="1:5" ht="19" x14ac:dyDescent="0.25">
      <c r="A25" s="153">
        <v>9</v>
      </c>
      <c r="B25" s="157">
        <f>'Earning Projections'!C29</f>
        <v>563700</v>
      </c>
      <c r="C25" s="157">
        <f>'Earning Projections'!B29</f>
        <v>434000</v>
      </c>
      <c r="D25" s="157">
        <f t="shared" si="4"/>
        <v>997700</v>
      </c>
      <c r="E25" s="158">
        <f t="shared" si="5"/>
        <v>997700</v>
      </c>
    </row>
    <row r="26" spans="1:5" ht="19" x14ac:dyDescent="0.25">
      <c r="A26" s="153">
        <v>10</v>
      </c>
      <c r="B26" s="157">
        <f>'Earning Projections'!C30</f>
        <v>936000</v>
      </c>
      <c r="C26" s="157">
        <f>'Earning Projections'!B30</f>
        <v>596000</v>
      </c>
      <c r="D26" s="157">
        <f t="shared" si="4"/>
        <v>1532000</v>
      </c>
      <c r="E26" s="158">
        <f t="shared" si="5"/>
        <v>1532000</v>
      </c>
    </row>
    <row r="27" spans="1:5" ht="19" x14ac:dyDescent="0.25">
      <c r="A27" s="153">
        <v>11</v>
      </c>
      <c r="B27" s="157">
        <f>'Earning Projections'!C31</f>
        <v>1494600</v>
      </c>
      <c r="C27" s="157">
        <f>'Earning Projections'!B31</f>
        <v>888000</v>
      </c>
      <c r="D27" s="157">
        <f t="shared" si="4"/>
        <v>2382600</v>
      </c>
      <c r="E27" s="158">
        <f t="shared" si="5"/>
        <v>2382600</v>
      </c>
    </row>
    <row r="28" spans="1:5" ht="19" x14ac:dyDescent="0.25">
      <c r="A28" s="153">
        <v>12</v>
      </c>
      <c r="B28" s="157">
        <f>'Earning Projections'!C32</f>
        <v>2275200</v>
      </c>
      <c r="C28" s="157">
        <f>'Earning Projections'!B32</f>
        <v>1182000</v>
      </c>
      <c r="D28" s="157">
        <f t="shared" si="4"/>
        <v>3457200</v>
      </c>
      <c r="E28" s="158">
        <f t="shared" si="5"/>
        <v>3457200</v>
      </c>
    </row>
    <row r="29" spans="1:5" s="156" customFormat="1" ht="20" customHeight="1" x14ac:dyDescent="0.25">
      <c r="A29" s="155" t="s">
        <v>146</v>
      </c>
      <c r="B29" s="160">
        <f>SUM(B17:B28)</f>
        <v>5851800</v>
      </c>
      <c r="C29" s="160">
        <f t="shared" ref="C29" si="6">SUM(C17:C28)</f>
        <v>3662000</v>
      </c>
      <c r="D29" s="160">
        <f t="shared" ref="D29:E29" si="7">SUM(D17:D28)</f>
        <v>9513800</v>
      </c>
      <c r="E29" s="160">
        <f t="shared" si="7"/>
        <v>9513800</v>
      </c>
    </row>
    <row r="30" spans="1:5" s="156" customFormat="1" ht="20" customHeight="1" x14ac:dyDescent="0.25">
      <c r="A30" s="179"/>
      <c r="B30" s="180"/>
      <c r="C30" s="180"/>
      <c r="D30" s="183"/>
      <c r="E30" s="183"/>
    </row>
    <row r="31" spans="1:5" s="156" customFormat="1" ht="34" customHeight="1" x14ac:dyDescent="0.35">
      <c r="A31" s="179"/>
      <c r="B31" s="180"/>
      <c r="C31" s="184" t="s">
        <v>239</v>
      </c>
      <c r="D31" s="165" t="s">
        <v>232</v>
      </c>
      <c r="E31" s="165" t="s">
        <v>229</v>
      </c>
    </row>
    <row r="32" spans="1:5" s="156" customFormat="1" ht="20" customHeight="1" x14ac:dyDescent="0.25">
      <c r="A32" s="179"/>
      <c r="B32" s="180"/>
      <c r="C32" s="185"/>
      <c r="D32" s="168">
        <v>0</v>
      </c>
      <c r="E32" s="166">
        <f>D32-F2</f>
        <v>-72481.5</v>
      </c>
    </row>
    <row r="33" spans="1:5" s="156" customFormat="1" ht="20" customHeight="1" x14ac:dyDescent="0.25">
      <c r="A33" s="179"/>
      <c r="C33" s="187" t="s">
        <v>241</v>
      </c>
      <c r="D33" s="168">
        <v>0</v>
      </c>
      <c r="E33" s="166">
        <f t="shared" ref="E33:E43" si="8">D33-F3</f>
        <v>-74011.5</v>
      </c>
    </row>
    <row r="34" spans="1:5" s="156" customFormat="1" ht="20" customHeight="1" x14ac:dyDescent="0.25">
      <c r="A34" s="179"/>
      <c r="B34" s="180"/>
      <c r="C34" s="186">
        <v>0.1</v>
      </c>
      <c r="D34" s="168">
        <v>0</v>
      </c>
      <c r="E34" s="166">
        <f t="shared" si="8"/>
        <v>-77766.5</v>
      </c>
    </row>
    <row r="35" spans="1:5" s="156" customFormat="1" ht="20" customHeight="1" x14ac:dyDescent="0.25">
      <c r="A35" s="179"/>
      <c r="B35" s="180"/>
      <c r="C35" s="188" t="s">
        <v>242</v>
      </c>
      <c r="D35" s="168">
        <v>0</v>
      </c>
      <c r="E35" s="166">
        <f t="shared" si="8"/>
        <v>-80116.5</v>
      </c>
    </row>
    <row r="36" spans="1:5" s="156" customFormat="1" ht="20" customHeight="1" x14ac:dyDescent="0.25">
      <c r="A36" s="179"/>
      <c r="B36" s="180"/>
      <c r="C36" s="181"/>
      <c r="D36" s="168">
        <v>0</v>
      </c>
      <c r="E36" s="166">
        <f t="shared" si="8"/>
        <v>-102719.5</v>
      </c>
    </row>
    <row r="37" spans="1:5" s="156" customFormat="1" ht="20" customHeight="1" x14ac:dyDescent="0.25">
      <c r="A37" s="179"/>
      <c r="C37" s="181"/>
      <c r="D37" s="168">
        <v>0</v>
      </c>
      <c r="E37" s="166">
        <f t="shared" si="8"/>
        <v>-103539.5</v>
      </c>
    </row>
    <row r="38" spans="1:5" s="156" customFormat="1" ht="20" customHeight="1" x14ac:dyDescent="0.25">
      <c r="A38" s="179"/>
      <c r="B38" s="180"/>
      <c r="C38" s="181"/>
      <c r="D38" s="168">
        <f>SUM(D23,E8)*C34</f>
        <v>29256</v>
      </c>
      <c r="E38" s="166">
        <f t="shared" si="8"/>
        <v>-85623.5</v>
      </c>
    </row>
    <row r="39" spans="1:5" s="156" customFormat="1" ht="20" customHeight="1" x14ac:dyDescent="0.25">
      <c r="A39" s="179"/>
      <c r="B39" s="180"/>
      <c r="C39" s="181"/>
      <c r="D39" s="168">
        <f>SUM(D24,E9)*C34</f>
        <v>57632</v>
      </c>
      <c r="E39" s="166">
        <f t="shared" si="8"/>
        <v>-60807.5</v>
      </c>
    </row>
    <row r="40" spans="1:5" s="156" customFormat="1" ht="20" customHeight="1" x14ac:dyDescent="0.25">
      <c r="A40" s="179"/>
      <c r="B40" s="180"/>
      <c r="C40" s="181" t="s">
        <v>240</v>
      </c>
      <c r="D40" s="168">
        <f>SUM(D25,E10)*C34</f>
        <v>101148</v>
      </c>
      <c r="E40" s="167">
        <f t="shared" si="8"/>
        <v>87368</v>
      </c>
    </row>
    <row r="41" spans="1:5" s="156" customFormat="1" ht="20" customHeight="1" x14ac:dyDescent="0.25">
      <c r="A41" s="179"/>
      <c r="B41" s="180"/>
      <c r="C41" s="181"/>
      <c r="D41" s="168">
        <f>SUM(D26,E11)*C34</f>
        <v>155058</v>
      </c>
      <c r="E41" s="167">
        <f t="shared" si="8"/>
        <v>136478</v>
      </c>
    </row>
    <row r="42" spans="1:5" s="156" customFormat="1" ht="20" customHeight="1" x14ac:dyDescent="0.25">
      <c r="A42" s="179"/>
      <c r="B42" s="180"/>
      <c r="C42" s="181"/>
      <c r="D42" s="168">
        <f>SUM(D27,E12)*C34</f>
        <v>241012</v>
      </c>
      <c r="E42" s="167">
        <f t="shared" si="8"/>
        <v>213492</v>
      </c>
    </row>
    <row r="43" spans="1:5" s="156" customFormat="1" ht="20" customHeight="1" x14ac:dyDescent="0.25">
      <c r="A43" s="179"/>
      <c r="B43" s="180"/>
      <c r="C43" s="181"/>
      <c r="D43" s="168">
        <f>SUM(D28,E13)*C34</f>
        <v>349444</v>
      </c>
      <c r="E43" s="167">
        <f t="shared" si="8"/>
        <v>312204</v>
      </c>
    </row>
    <row r="44" spans="1:5" s="156" customFormat="1" ht="20" customHeight="1" x14ac:dyDescent="0.25">
      <c r="A44" s="179"/>
      <c r="B44" s="180"/>
      <c r="C44" s="181"/>
      <c r="D44" s="182">
        <f>SUM(D29,E14)*C34</f>
        <v>963008</v>
      </c>
      <c r="E44" s="183">
        <f t="shared" ref="E44" si="9">D44-D14</f>
        <v>963008</v>
      </c>
    </row>
    <row r="45" spans="1:5" s="156" customFormat="1" ht="20" customHeight="1" x14ac:dyDescent="0.25">
      <c r="A45" s="179"/>
      <c r="B45" s="180"/>
      <c r="C45" s="180"/>
      <c r="D45" s="180"/>
      <c r="E45" s="180"/>
    </row>
    <row r="46" spans="1:5" s="156" customFormat="1" ht="20" customHeight="1" x14ac:dyDescent="0.25">
      <c r="A46" s="179"/>
      <c r="B46" s="180"/>
      <c r="C46" s="180"/>
      <c r="D46" s="180"/>
      <c r="E46" s="180"/>
    </row>
    <row r="49" spans="1:6" ht="19" x14ac:dyDescent="0.25">
      <c r="A49" s="56"/>
      <c r="B49" s="56"/>
    </row>
    <row r="50" spans="1:6" ht="19" x14ac:dyDescent="0.25">
      <c r="A50" s="61" t="s">
        <v>54</v>
      </c>
      <c r="B50" s="161" t="s">
        <v>230</v>
      </c>
      <c r="C50" s="161" t="s">
        <v>231</v>
      </c>
      <c r="D50" s="162"/>
    </row>
    <row r="51" spans="1:6" ht="19" x14ac:dyDescent="0.25">
      <c r="A51" s="153">
        <v>0</v>
      </c>
      <c r="B51" s="161">
        <f>'Funding Plan'!B12+'Funding Plan'!B18</f>
        <v>663500</v>
      </c>
      <c r="C51" s="161">
        <f>'Funding Plan'!B12+'Funding Plan'!B18</f>
        <v>663500</v>
      </c>
      <c r="D51" s="162"/>
    </row>
    <row r="52" spans="1:6" ht="19" x14ac:dyDescent="0.25">
      <c r="A52" s="153">
        <v>1</v>
      </c>
      <c r="B52" s="169">
        <f t="shared" ref="B52:B63" si="10">SUM(B51,E17)</f>
        <v>663500</v>
      </c>
      <c r="C52" s="170">
        <f>SUM(C51,E32)</f>
        <v>591018.5</v>
      </c>
      <c r="D52" s="190"/>
    </row>
    <row r="53" spans="1:6" ht="19" x14ac:dyDescent="0.25">
      <c r="A53" s="153">
        <v>2</v>
      </c>
      <c r="B53" s="169">
        <f t="shared" si="10"/>
        <v>663500</v>
      </c>
      <c r="C53" s="170">
        <f t="shared" ref="C53:C63" si="11">SUM(C52,E33)</f>
        <v>517007</v>
      </c>
      <c r="D53" s="190"/>
    </row>
    <row r="54" spans="1:6" ht="19" x14ac:dyDescent="0.25">
      <c r="A54" s="153">
        <v>3</v>
      </c>
      <c r="B54" s="169">
        <f t="shared" si="10"/>
        <v>675100</v>
      </c>
      <c r="C54" s="170">
        <f t="shared" si="11"/>
        <v>439240.5</v>
      </c>
      <c r="D54" s="190"/>
    </row>
    <row r="55" spans="1:6" ht="19" x14ac:dyDescent="0.25">
      <c r="A55" s="153">
        <v>4</v>
      </c>
      <c r="B55" s="169">
        <f t="shared" si="10"/>
        <v>726600</v>
      </c>
      <c r="C55" s="170">
        <f t="shared" si="11"/>
        <v>359124</v>
      </c>
      <c r="D55" s="190"/>
    </row>
    <row r="56" spans="1:6" ht="19" x14ac:dyDescent="0.25">
      <c r="A56" s="153">
        <v>5</v>
      </c>
      <c r="B56" s="169">
        <f t="shared" si="10"/>
        <v>810800</v>
      </c>
      <c r="C56" s="170">
        <f t="shared" si="11"/>
        <v>256404.5</v>
      </c>
      <c r="D56" s="190"/>
    </row>
    <row r="57" spans="1:6" ht="19" x14ac:dyDescent="0.25">
      <c r="A57" s="153">
        <v>6</v>
      </c>
      <c r="B57" s="169">
        <f t="shared" si="10"/>
        <v>952000</v>
      </c>
      <c r="C57" s="170">
        <f t="shared" si="11"/>
        <v>152865</v>
      </c>
      <c r="D57" s="193" t="s">
        <v>243</v>
      </c>
      <c r="F57" s="189"/>
    </row>
    <row r="58" spans="1:6" ht="19" x14ac:dyDescent="0.25">
      <c r="A58" s="153">
        <v>7</v>
      </c>
      <c r="B58" s="169">
        <f t="shared" si="10"/>
        <v>1239800</v>
      </c>
      <c r="C58" s="171">
        <f>SUM(C57,E38)+D58</f>
        <v>192241.5</v>
      </c>
      <c r="D58" s="192">
        <v>125000</v>
      </c>
      <c r="F58" s="189"/>
    </row>
    <row r="59" spans="1:6" ht="19" x14ac:dyDescent="0.25">
      <c r="A59" s="153">
        <v>8</v>
      </c>
      <c r="B59" s="169">
        <f t="shared" si="10"/>
        <v>1807800</v>
      </c>
      <c r="C59" s="175">
        <f t="shared" si="11"/>
        <v>131434</v>
      </c>
      <c r="D59" s="194" t="s">
        <v>244</v>
      </c>
      <c r="E59" s="191"/>
    </row>
    <row r="60" spans="1:6" ht="19" x14ac:dyDescent="0.25">
      <c r="A60" s="153">
        <v>9</v>
      </c>
      <c r="B60" s="169">
        <f t="shared" si="10"/>
        <v>2805500</v>
      </c>
      <c r="C60" s="170">
        <f t="shared" si="11"/>
        <v>218802</v>
      </c>
      <c r="D60" s="195"/>
    </row>
    <row r="61" spans="1:6" ht="19" x14ac:dyDescent="0.25">
      <c r="A61" s="153">
        <v>10</v>
      </c>
      <c r="B61" s="169">
        <f t="shared" si="10"/>
        <v>4337500</v>
      </c>
      <c r="C61" s="170">
        <f t="shared" si="11"/>
        <v>355280</v>
      </c>
      <c r="D61" s="195"/>
    </row>
    <row r="62" spans="1:6" ht="19" x14ac:dyDescent="0.25">
      <c r="A62" s="153">
        <v>11</v>
      </c>
      <c r="B62" s="169">
        <f t="shared" si="10"/>
        <v>6720100</v>
      </c>
      <c r="C62" s="170">
        <f t="shared" si="11"/>
        <v>568772</v>
      </c>
      <c r="D62" s="195"/>
    </row>
    <row r="63" spans="1:6" ht="19" x14ac:dyDescent="0.25">
      <c r="A63" s="153">
        <v>12</v>
      </c>
      <c r="B63" s="169">
        <f t="shared" si="10"/>
        <v>10177300</v>
      </c>
      <c r="C63" s="170">
        <f t="shared" si="11"/>
        <v>880976</v>
      </c>
      <c r="D63" s="196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3719-9405-4911-A47D-D097E7F994FD}">
  <dimension ref="A1:T44"/>
  <sheetViews>
    <sheetView topLeftCell="A19" zoomScale="125" zoomScaleNormal="85" workbookViewId="0">
      <selection activeCell="B42" sqref="B42:C42"/>
    </sheetView>
  </sheetViews>
  <sheetFormatPr baseColWidth="10" defaultColWidth="8.83203125" defaultRowHeight="15" x14ac:dyDescent="0.2"/>
  <cols>
    <col min="1" max="1" width="20" customWidth="1"/>
    <col min="4" max="4" width="9.83203125" customWidth="1"/>
    <col min="5" max="5" width="9.1640625" customWidth="1"/>
    <col min="6" max="6" width="20" customWidth="1"/>
    <col min="8" max="8" width="9.1640625" customWidth="1"/>
    <col min="9" max="9" width="10.6640625" customWidth="1"/>
    <col min="11" max="11" width="20.33203125" customWidth="1"/>
    <col min="14" max="14" width="11.1640625" customWidth="1"/>
    <col min="15" max="16" width="9.1640625" customWidth="1"/>
    <col min="17" max="17" width="21.33203125" customWidth="1"/>
  </cols>
  <sheetData>
    <row r="1" spans="1:18" ht="39" x14ac:dyDescent="0.45">
      <c r="A1" s="3" t="s">
        <v>0</v>
      </c>
    </row>
    <row r="3" spans="1:18" ht="29" x14ac:dyDescent="0.35">
      <c r="A3" s="1" t="s">
        <v>1</v>
      </c>
    </row>
    <row r="5" spans="1:18" ht="22" x14ac:dyDescent="0.3">
      <c r="A5" s="2" t="s">
        <v>2</v>
      </c>
      <c r="F5" s="2" t="s">
        <v>15</v>
      </c>
      <c r="K5" s="2" t="s">
        <v>16</v>
      </c>
      <c r="Q5" s="2" t="s">
        <v>109</v>
      </c>
    </row>
    <row r="6" spans="1:18" x14ac:dyDescent="0.2">
      <c r="Q6" s="14" t="s">
        <v>119</v>
      </c>
    </row>
    <row r="7" spans="1:18" ht="16" x14ac:dyDescent="0.2">
      <c r="A7" s="5" t="s">
        <v>8</v>
      </c>
      <c r="F7" s="5" t="s">
        <v>8</v>
      </c>
      <c r="K7" s="5" t="s">
        <v>8</v>
      </c>
      <c r="Q7" s="5" t="s">
        <v>8</v>
      </c>
    </row>
    <row r="8" spans="1:18" x14ac:dyDescent="0.2">
      <c r="A8" s="10" t="s">
        <v>9</v>
      </c>
      <c r="B8" s="10" t="s">
        <v>10</v>
      </c>
      <c r="F8" s="10" t="s">
        <v>9</v>
      </c>
      <c r="G8" s="10" t="s">
        <v>10</v>
      </c>
      <c r="K8" s="10" t="s">
        <v>9</v>
      </c>
      <c r="L8" s="10" t="s">
        <v>10</v>
      </c>
      <c r="Q8" s="10" t="s">
        <v>9</v>
      </c>
      <c r="R8" s="10" t="s">
        <v>10</v>
      </c>
    </row>
    <row r="9" spans="1:18" x14ac:dyDescent="0.2">
      <c r="A9" s="8" t="s">
        <v>3</v>
      </c>
      <c r="B9" s="8">
        <v>1</v>
      </c>
      <c r="F9" s="8" t="s">
        <v>3</v>
      </c>
      <c r="G9" s="8">
        <v>1</v>
      </c>
      <c r="K9" s="8" t="s">
        <v>3</v>
      </c>
      <c r="L9" s="8">
        <v>1</v>
      </c>
      <c r="Q9" s="8" t="s">
        <v>3</v>
      </c>
      <c r="R9" s="8">
        <v>0</v>
      </c>
    </row>
    <row r="10" spans="1:18" x14ac:dyDescent="0.2">
      <c r="A10" s="9" t="s">
        <v>4</v>
      </c>
      <c r="B10" s="9">
        <v>3</v>
      </c>
      <c r="F10" s="9" t="s">
        <v>4</v>
      </c>
      <c r="G10" s="9">
        <v>5</v>
      </c>
      <c r="K10" s="9" t="s">
        <v>4</v>
      </c>
      <c r="L10" s="9">
        <v>2</v>
      </c>
      <c r="Q10" s="9" t="s">
        <v>4</v>
      </c>
      <c r="R10" s="9">
        <v>3</v>
      </c>
    </row>
    <row r="11" spans="1:18" x14ac:dyDescent="0.2">
      <c r="A11" s="9" t="s">
        <v>5</v>
      </c>
      <c r="B11" s="9">
        <v>1</v>
      </c>
      <c r="F11" s="9" t="s">
        <v>5</v>
      </c>
      <c r="G11" s="9">
        <v>2</v>
      </c>
      <c r="K11" s="9" t="s">
        <v>5</v>
      </c>
      <c r="L11" s="9">
        <v>0.5</v>
      </c>
      <c r="Q11" s="9" t="s">
        <v>5</v>
      </c>
      <c r="R11" s="9">
        <v>1</v>
      </c>
    </row>
    <row r="12" spans="1:18" x14ac:dyDescent="0.2">
      <c r="A12" s="9" t="s">
        <v>6</v>
      </c>
      <c r="B12" s="9">
        <v>0.25</v>
      </c>
      <c r="F12" s="9" t="s">
        <v>6</v>
      </c>
      <c r="G12" s="9">
        <v>0.5</v>
      </c>
      <c r="K12" s="9" t="s">
        <v>6</v>
      </c>
      <c r="L12" s="9">
        <v>0.15</v>
      </c>
      <c r="Q12" s="9" t="s">
        <v>6</v>
      </c>
      <c r="R12" s="9">
        <v>0.25</v>
      </c>
    </row>
    <row r="13" spans="1:18" x14ac:dyDescent="0.2">
      <c r="A13" s="9" t="s">
        <v>40</v>
      </c>
      <c r="B13" s="9">
        <v>0.5</v>
      </c>
      <c r="F13" s="9" t="s">
        <v>40</v>
      </c>
      <c r="G13" s="9">
        <v>1</v>
      </c>
      <c r="K13" s="9" t="s">
        <v>40</v>
      </c>
      <c r="L13" s="9">
        <v>0.25</v>
      </c>
      <c r="Q13" s="9" t="s">
        <v>40</v>
      </c>
      <c r="R13" s="9">
        <v>0.5</v>
      </c>
    </row>
    <row r="14" spans="1:18" x14ac:dyDescent="0.2">
      <c r="A14" s="8" t="s">
        <v>7</v>
      </c>
      <c r="B14" s="8">
        <v>0.2</v>
      </c>
      <c r="F14" s="8" t="s">
        <v>7</v>
      </c>
      <c r="G14" s="8">
        <v>0.4</v>
      </c>
      <c r="K14" s="8" t="s">
        <v>7</v>
      </c>
      <c r="L14" s="8">
        <v>0.1</v>
      </c>
      <c r="Q14" s="8" t="s">
        <v>7</v>
      </c>
      <c r="R14" s="8">
        <v>0</v>
      </c>
    </row>
    <row r="15" spans="1:18" x14ac:dyDescent="0.2">
      <c r="A15" s="8" t="s">
        <v>11</v>
      </c>
      <c r="B15" s="8">
        <v>0.5</v>
      </c>
      <c r="F15" s="8" t="s">
        <v>11</v>
      </c>
      <c r="G15" s="8">
        <v>1</v>
      </c>
      <c r="K15" s="8" t="s">
        <v>11</v>
      </c>
      <c r="L15" s="8">
        <v>0.25</v>
      </c>
      <c r="Q15" s="8" t="s">
        <v>11</v>
      </c>
      <c r="R15" s="8">
        <v>0</v>
      </c>
    </row>
    <row r="16" spans="1:18" x14ac:dyDescent="0.2">
      <c r="A16" s="8" t="s">
        <v>12</v>
      </c>
      <c r="B16" s="8">
        <v>0.25</v>
      </c>
      <c r="F16" s="8" t="s">
        <v>12</v>
      </c>
      <c r="G16" s="8">
        <v>0.5</v>
      </c>
      <c r="K16" s="8" t="s">
        <v>12</v>
      </c>
      <c r="L16" s="8">
        <v>0.2</v>
      </c>
      <c r="Q16" s="8" t="s">
        <v>12</v>
      </c>
      <c r="R16" s="8">
        <v>0</v>
      </c>
    </row>
    <row r="17" spans="1:20" x14ac:dyDescent="0.2">
      <c r="A17" s="11" t="s">
        <v>13</v>
      </c>
      <c r="B17" s="11">
        <f>B10+B11+B12+B13</f>
        <v>4.75</v>
      </c>
      <c r="F17" s="11" t="s">
        <v>13</v>
      </c>
      <c r="G17" s="11">
        <f>G10+G11+G12+G13</f>
        <v>8.5</v>
      </c>
      <c r="K17" s="11" t="s">
        <v>13</v>
      </c>
      <c r="L17" s="11">
        <f>L10+L11+L12+L13</f>
        <v>2.9</v>
      </c>
      <c r="Q17" s="11" t="s">
        <v>13</v>
      </c>
      <c r="R17" s="11">
        <f>R10+R11+R12+R13</f>
        <v>4.75</v>
      </c>
    </row>
    <row r="18" spans="1:20" x14ac:dyDescent="0.2">
      <c r="A18" s="12" t="s">
        <v>14</v>
      </c>
      <c r="B18" s="12">
        <f>B9+B14+B15+B16</f>
        <v>1.95</v>
      </c>
      <c r="F18" s="12" t="s">
        <v>14</v>
      </c>
      <c r="G18" s="12">
        <f>G9+G14+G15+G16</f>
        <v>2.9</v>
      </c>
      <c r="K18" s="12" t="s">
        <v>14</v>
      </c>
      <c r="L18" s="12">
        <f>L9+L14+L15+L16</f>
        <v>1.55</v>
      </c>
      <c r="Q18" s="12" t="s">
        <v>14</v>
      </c>
      <c r="R18" s="12">
        <f>R9+R14+R15+R16</f>
        <v>0</v>
      </c>
    </row>
    <row r="20" spans="1:20" x14ac:dyDescent="0.2">
      <c r="A20" s="15" t="s">
        <v>26</v>
      </c>
      <c r="B20" s="14"/>
      <c r="F20" s="15" t="s">
        <v>26</v>
      </c>
      <c r="G20" s="14"/>
      <c r="K20" s="15" t="s">
        <v>26</v>
      </c>
      <c r="L20" s="14"/>
      <c r="Q20" s="15" t="s">
        <v>26</v>
      </c>
      <c r="R20" s="14"/>
    </row>
    <row r="21" spans="1:20" x14ac:dyDescent="0.2">
      <c r="A21" s="16" t="s">
        <v>27</v>
      </c>
      <c r="B21" s="19">
        <v>200</v>
      </c>
      <c r="F21" s="16" t="s">
        <v>27</v>
      </c>
      <c r="G21" s="19">
        <v>200</v>
      </c>
      <c r="K21" s="16" t="s">
        <v>27</v>
      </c>
      <c r="L21" s="19">
        <v>200</v>
      </c>
      <c r="Q21" s="16" t="s">
        <v>27</v>
      </c>
      <c r="R21" s="19">
        <v>200</v>
      </c>
    </row>
    <row r="22" spans="1:20" x14ac:dyDescent="0.2">
      <c r="A22" s="17" t="s">
        <v>28</v>
      </c>
      <c r="B22" s="18">
        <v>400</v>
      </c>
      <c r="F22" s="17" t="s">
        <v>28</v>
      </c>
      <c r="G22" s="18">
        <v>400</v>
      </c>
      <c r="K22" s="17" t="s">
        <v>28</v>
      </c>
      <c r="L22" s="18">
        <v>400</v>
      </c>
      <c r="Q22" s="17" t="s">
        <v>28</v>
      </c>
      <c r="R22" s="18">
        <v>400</v>
      </c>
    </row>
    <row r="24" spans="1:20" ht="22" x14ac:dyDescent="0.3">
      <c r="A24" s="2" t="s">
        <v>30</v>
      </c>
      <c r="F24" s="2" t="s">
        <v>31</v>
      </c>
      <c r="K24" s="2" t="s">
        <v>32</v>
      </c>
      <c r="Q24" s="2" t="s">
        <v>110</v>
      </c>
    </row>
    <row r="25" spans="1:20" ht="15.75" customHeight="1" x14ac:dyDescent="0.2">
      <c r="A25" s="215" t="s">
        <v>17</v>
      </c>
      <c r="B25" s="215"/>
      <c r="C25" s="215"/>
      <c r="D25" s="216" t="s">
        <v>19</v>
      </c>
      <c r="F25" s="215" t="s">
        <v>17</v>
      </c>
      <c r="G25" s="215"/>
      <c r="H25" s="215"/>
      <c r="I25" s="216" t="s">
        <v>19</v>
      </c>
      <c r="K25" s="215" t="s">
        <v>17</v>
      </c>
      <c r="L25" s="215"/>
      <c r="M25" s="215"/>
      <c r="N25" s="216" t="s">
        <v>19</v>
      </c>
      <c r="Q25" s="215" t="s">
        <v>17</v>
      </c>
      <c r="R25" s="215"/>
      <c r="S25" s="215"/>
      <c r="T25" s="216" t="s">
        <v>19</v>
      </c>
    </row>
    <row r="26" spans="1:20" ht="15.75" customHeight="1" x14ac:dyDescent="0.2">
      <c r="A26" s="215"/>
      <c r="B26" s="215"/>
      <c r="C26" s="215"/>
      <c r="D26" s="216"/>
      <c r="F26" s="215"/>
      <c r="G26" s="215"/>
      <c r="H26" s="215"/>
      <c r="I26" s="216"/>
      <c r="K26" s="215"/>
      <c r="L26" s="215"/>
      <c r="M26" s="215"/>
      <c r="N26" s="216"/>
      <c r="Q26" s="215"/>
      <c r="R26" s="215"/>
      <c r="S26" s="215"/>
      <c r="T26" s="216"/>
    </row>
    <row r="27" spans="1:20" x14ac:dyDescent="0.2">
      <c r="A27" s="211" t="s">
        <v>18</v>
      </c>
      <c r="B27" s="211"/>
      <c r="C27" s="211"/>
      <c r="D27" s="13">
        <v>3</v>
      </c>
      <c r="F27" s="211" t="s">
        <v>18</v>
      </c>
      <c r="G27" s="211"/>
      <c r="H27" s="211"/>
      <c r="I27" s="13">
        <v>2</v>
      </c>
      <c r="K27" s="211" t="s">
        <v>18</v>
      </c>
      <c r="L27" s="211"/>
      <c r="M27" s="211"/>
      <c r="N27" s="13">
        <v>5</v>
      </c>
      <c r="Q27" s="211" t="s">
        <v>18</v>
      </c>
      <c r="R27" s="211"/>
      <c r="S27" s="211"/>
      <c r="T27" s="13">
        <v>3</v>
      </c>
    </row>
    <row r="28" spans="1:20" x14ac:dyDescent="0.2">
      <c r="A28" s="212" t="s">
        <v>20</v>
      </c>
      <c r="B28" s="212"/>
      <c r="C28" s="212"/>
      <c r="D28" s="13">
        <v>2</v>
      </c>
      <c r="F28" s="212" t="s">
        <v>20</v>
      </c>
      <c r="G28" s="212"/>
      <c r="H28" s="212"/>
      <c r="I28" s="13">
        <v>1.5</v>
      </c>
      <c r="K28" s="212" t="s">
        <v>20</v>
      </c>
      <c r="L28" s="212"/>
      <c r="M28" s="212"/>
      <c r="N28" s="13">
        <v>4</v>
      </c>
      <c r="Q28" s="212" t="s">
        <v>20</v>
      </c>
      <c r="R28" s="212"/>
      <c r="S28" s="212"/>
      <c r="T28" s="13">
        <v>2</v>
      </c>
    </row>
    <row r="29" spans="1:20" x14ac:dyDescent="0.2">
      <c r="A29" s="210" t="s">
        <v>21</v>
      </c>
      <c r="B29" s="210"/>
      <c r="C29" s="210"/>
      <c r="D29" s="13">
        <v>2</v>
      </c>
      <c r="F29" s="210" t="s">
        <v>21</v>
      </c>
      <c r="G29" s="210"/>
      <c r="H29" s="210"/>
      <c r="I29" s="13">
        <v>1.5</v>
      </c>
      <c r="K29" s="210" t="s">
        <v>21</v>
      </c>
      <c r="L29" s="210"/>
      <c r="M29" s="210"/>
      <c r="N29" s="13">
        <v>4</v>
      </c>
      <c r="Q29" s="210" t="s">
        <v>21</v>
      </c>
      <c r="R29" s="210"/>
      <c r="S29" s="210"/>
      <c r="T29" s="13">
        <v>2</v>
      </c>
    </row>
    <row r="30" spans="1:20" x14ac:dyDescent="0.2">
      <c r="A30" s="210" t="s">
        <v>22</v>
      </c>
      <c r="B30" s="210"/>
      <c r="C30" s="210"/>
      <c r="D30" s="13">
        <v>3</v>
      </c>
      <c r="F30" s="210" t="s">
        <v>22</v>
      </c>
      <c r="G30" s="210"/>
      <c r="H30" s="210"/>
      <c r="I30" s="13">
        <v>2</v>
      </c>
      <c r="K30" s="210" t="s">
        <v>22</v>
      </c>
      <c r="L30" s="210"/>
      <c r="M30" s="210"/>
      <c r="N30" s="13">
        <v>5</v>
      </c>
      <c r="Q30" s="210" t="s">
        <v>22</v>
      </c>
      <c r="R30" s="210"/>
      <c r="S30" s="210"/>
      <c r="T30" s="13">
        <v>3</v>
      </c>
    </row>
    <row r="31" spans="1:20" x14ac:dyDescent="0.2">
      <c r="A31" s="210" t="s">
        <v>88</v>
      </c>
      <c r="B31" s="210"/>
      <c r="C31" s="210"/>
      <c r="D31" s="13">
        <v>2</v>
      </c>
      <c r="F31" s="210" t="s">
        <v>23</v>
      </c>
      <c r="G31" s="210"/>
      <c r="H31" s="210"/>
      <c r="I31" s="13">
        <v>1.5</v>
      </c>
      <c r="K31" s="210" t="s">
        <v>23</v>
      </c>
      <c r="L31" s="210"/>
      <c r="M31" s="210"/>
      <c r="N31" s="13">
        <v>4</v>
      </c>
      <c r="Q31" s="210" t="s">
        <v>88</v>
      </c>
      <c r="R31" s="210"/>
      <c r="S31" s="210"/>
      <c r="T31" s="13">
        <v>2</v>
      </c>
    </row>
    <row r="32" spans="1:20" x14ac:dyDescent="0.2">
      <c r="A32" s="211" t="s">
        <v>24</v>
      </c>
      <c r="B32" s="211"/>
      <c r="C32" s="211"/>
      <c r="D32" s="13">
        <f>D27</f>
        <v>3</v>
      </c>
      <c r="F32" s="211" t="s">
        <v>24</v>
      </c>
      <c r="G32" s="211"/>
      <c r="H32" s="211"/>
      <c r="I32" s="13">
        <f>I27</f>
        <v>2</v>
      </c>
      <c r="K32" s="211" t="s">
        <v>24</v>
      </c>
      <c r="L32" s="211"/>
      <c r="M32" s="211"/>
      <c r="N32" s="13">
        <f>N27</f>
        <v>5</v>
      </c>
      <c r="Q32" s="211" t="s">
        <v>24</v>
      </c>
      <c r="R32" s="211"/>
      <c r="S32" s="211"/>
      <c r="T32" s="13">
        <f>T27</f>
        <v>3</v>
      </c>
    </row>
    <row r="33" spans="1:20" x14ac:dyDescent="0.2">
      <c r="A33" s="212" t="s">
        <v>25</v>
      </c>
      <c r="B33" s="212"/>
      <c r="C33" s="212"/>
      <c r="D33" s="13">
        <f>D27+D28</f>
        <v>5</v>
      </c>
      <c r="F33" s="212" t="s">
        <v>25</v>
      </c>
      <c r="G33" s="212"/>
      <c r="H33" s="212"/>
      <c r="I33" s="13">
        <f>I27+I28</f>
        <v>3.5</v>
      </c>
      <c r="K33" s="212" t="s">
        <v>25</v>
      </c>
      <c r="L33" s="212"/>
      <c r="M33" s="212"/>
      <c r="N33" s="13">
        <f>N27+N28</f>
        <v>9</v>
      </c>
      <c r="Q33" s="212" t="s">
        <v>25</v>
      </c>
      <c r="R33" s="212"/>
      <c r="S33" s="212"/>
      <c r="T33" s="13">
        <f>T27+T28</f>
        <v>5</v>
      </c>
    </row>
    <row r="34" spans="1:20" x14ac:dyDescent="0.2">
      <c r="A34" s="210" t="s">
        <v>82</v>
      </c>
      <c r="B34" s="210"/>
      <c r="C34" s="210"/>
      <c r="D34" s="13">
        <f>D27+D28+D29+D30+D31</f>
        <v>12</v>
      </c>
      <c r="F34" s="210" t="s">
        <v>82</v>
      </c>
      <c r="G34" s="210"/>
      <c r="H34" s="210"/>
      <c r="I34" s="13">
        <f>I27+I28+I29+I30+I31</f>
        <v>8.5</v>
      </c>
      <c r="K34" s="210" t="s">
        <v>82</v>
      </c>
      <c r="L34" s="210"/>
      <c r="M34" s="210"/>
      <c r="N34" s="13">
        <f>N27+N28+N29+N30+N31</f>
        <v>22</v>
      </c>
      <c r="Q34" s="210" t="s">
        <v>82</v>
      </c>
      <c r="R34" s="210"/>
      <c r="S34" s="210"/>
      <c r="T34" s="13">
        <f>T27+T28+T29+T30+T31</f>
        <v>12</v>
      </c>
    </row>
    <row r="37" spans="1:20" ht="19" x14ac:dyDescent="0.25">
      <c r="A37" s="20" t="s">
        <v>33</v>
      </c>
      <c r="F37" s="20" t="s">
        <v>38</v>
      </c>
      <c r="K37" s="20" t="s">
        <v>39</v>
      </c>
      <c r="Q37" s="20" t="s">
        <v>111</v>
      </c>
    </row>
    <row r="39" spans="1:20" x14ac:dyDescent="0.2">
      <c r="A39" s="7" t="s">
        <v>35</v>
      </c>
      <c r="B39" s="213" t="s">
        <v>36</v>
      </c>
      <c r="C39" s="213"/>
      <c r="D39" s="7" t="s">
        <v>29</v>
      </c>
      <c r="F39" s="7" t="s">
        <v>35</v>
      </c>
      <c r="G39" s="213" t="s">
        <v>36</v>
      </c>
      <c r="H39" s="213"/>
      <c r="I39" s="7" t="s">
        <v>29</v>
      </c>
      <c r="K39" s="7" t="s">
        <v>35</v>
      </c>
      <c r="L39" s="213" t="s">
        <v>36</v>
      </c>
      <c r="M39" s="213"/>
      <c r="N39" s="7" t="s">
        <v>29</v>
      </c>
      <c r="Q39" s="7" t="s">
        <v>35</v>
      </c>
      <c r="R39" s="213" t="s">
        <v>36</v>
      </c>
      <c r="S39" s="213"/>
      <c r="T39" s="7" t="s">
        <v>29</v>
      </c>
    </row>
    <row r="40" spans="1:20" x14ac:dyDescent="0.2">
      <c r="A40" s="41" t="s">
        <v>34</v>
      </c>
      <c r="B40" s="214">
        <f>D32</f>
        <v>3</v>
      </c>
      <c r="C40" s="214"/>
      <c r="D40" s="42">
        <f>ROUND((17*B40*B17*B21)+(17*B40*B18*B22), -4)</f>
        <v>90000</v>
      </c>
      <c r="F40" s="41" t="s">
        <v>34</v>
      </c>
      <c r="G40" s="214">
        <f>I32</f>
        <v>2</v>
      </c>
      <c r="H40" s="214"/>
      <c r="I40" s="42">
        <f>ROUND((17*G40*G17*G21)+(17*G40*G18*G22), -4)</f>
        <v>100000</v>
      </c>
      <c r="K40" s="41" t="s">
        <v>34</v>
      </c>
      <c r="L40" s="214">
        <f>N32</f>
        <v>5</v>
      </c>
      <c r="M40" s="214"/>
      <c r="N40" s="42">
        <f>ROUND((17*L40*L17*L21)+(17*L40*L18*L22), -4)</f>
        <v>100000</v>
      </c>
      <c r="Q40" s="41" t="s">
        <v>34</v>
      </c>
      <c r="R40" s="214">
        <f>T32</f>
        <v>3</v>
      </c>
      <c r="S40" s="214"/>
      <c r="T40" s="42">
        <f>ROUND((17*R40*R17*R21)+(17*R40*R18*R22), -4)</f>
        <v>50000</v>
      </c>
    </row>
    <row r="41" spans="1:20" x14ac:dyDescent="0.2">
      <c r="A41" s="21" t="s">
        <v>37</v>
      </c>
      <c r="B41" s="208">
        <f>D33</f>
        <v>5</v>
      </c>
      <c r="C41" s="208"/>
      <c r="D41" s="22">
        <f>ROUND((17*B41*B17*B21)+(17*B41*B18*B22), -4)</f>
        <v>150000</v>
      </c>
      <c r="F41" s="21" t="s">
        <v>37</v>
      </c>
      <c r="G41" s="208">
        <f>I33</f>
        <v>3.5</v>
      </c>
      <c r="H41" s="208"/>
      <c r="I41" s="22">
        <f>ROUND((17*G41*G17*G21)+(17*G41*G18*G22), -4)</f>
        <v>170000</v>
      </c>
      <c r="K41" s="21" t="s">
        <v>37</v>
      </c>
      <c r="L41" s="208">
        <f>N33</f>
        <v>9</v>
      </c>
      <c r="M41" s="208"/>
      <c r="N41" s="22">
        <f>ROUND((17*L41*L17*L21)+(17*L41*L18*L22), -4)</f>
        <v>180000</v>
      </c>
      <c r="Q41" s="21" t="s">
        <v>37</v>
      </c>
      <c r="R41" s="208">
        <f>T33</f>
        <v>5</v>
      </c>
      <c r="S41" s="208"/>
      <c r="T41" s="22">
        <f>ROUND((17*R41*R17*R21)+(17*R41*R18*R22), -4)</f>
        <v>80000</v>
      </c>
    </row>
    <row r="42" spans="1:20" x14ac:dyDescent="0.2">
      <c r="A42" s="23" t="s">
        <v>81</v>
      </c>
      <c r="B42" s="209">
        <f>D34</f>
        <v>12</v>
      </c>
      <c r="C42" s="209"/>
      <c r="D42" s="24">
        <f>ROUND((17*B42*B17*B21)+(17*B42*B18*B22), -4)</f>
        <v>350000</v>
      </c>
      <c r="F42" s="23" t="s">
        <v>81</v>
      </c>
      <c r="G42" s="209">
        <f>I34</f>
        <v>8.5</v>
      </c>
      <c r="H42" s="209"/>
      <c r="I42" s="24">
        <f>ROUND((17*G42*G17*G21)+(17*G42*G18*G22), -4)</f>
        <v>410000</v>
      </c>
      <c r="K42" s="23" t="s">
        <v>81</v>
      </c>
      <c r="L42" s="209">
        <f>N34</f>
        <v>22</v>
      </c>
      <c r="M42" s="209"/>
      <c r="N42" s="24">
        <f>ROUND((17*L42*L17*L21)+(17*L42*L18*L22), -4)</f>
        <v>450000</v>
      </c>
      <c r="Q42" s="23" t="s">
        <v>81</v>
      </c>
      <c r="R42" s="209">
        <f>T34</f>
        <v>12</v>
      </c>
      <c r="S42" s="209"/>
      <c r="T42" s="24">
        <f>ROUND((17*R42*R17*R21)+(17*R42*R18*R22), -4)</f>
        <v>190000</v>
      </c>
    </row>
    <row r="44" spans="1:20" x14ac:dyDescent="0.2">
      <c r="A44" s="6" t="s">
        <v>80</v>
      </c>
      <c r="D44" s="40">
        <f>ROUND((17*3*B17*B21)+(17*3*B18*B22), -4)</f>
        <v>90000</v>
      </c>
      <c r="F44" s="6" t="s">
        <v>80</v>
      </c>
      <c r="I44" s="40">
        <f>ROUND((17*3*G17*G21)+(17*3*G18*G22), -4)</f>
        <v>150000</v>
      </c>
      <c r="K44" s="6" t="s">
        <v>80</v>
      </c>
      <c r="N44" s="40">
        <f>ROUND((17*3*L17*L21)+(17*3*L18*L22), -4)</f>
        <v>60000</v>
      </c>
      <c r="Q44" s="6" t="s">
        <v>80</v>
      </c>
      <c r="T44" s="40">
        <f>ROUND((17*3*R17*R21)+(17*3*R18*R22), -4)</f>
        <v>50000</v>
      </c>
    </row>
  </sheetData>
  <mergeCells count="56">
    <mergeCell ref="A33:C33"/>
    <mergeCell ref="A34:C34"/>
    <mergeCell ref="A25:C26"/>
    <mergeCell ref="D25:D26"/>
    <mergeCell ref="F25:H26"/>
    <mergeCell ref="F27:H27"/>
    <mergeCell ref="F28:H28"/>
    <mergeCell ref="F29:H29"/>
    <mergeCell ref="F30:H30"/>
    <mergeCell ref="A27:C27"/>
    <mergeCell ref="A28:C28"/>
    <mergeCell ref="A29:C29"/>
    <mergeCell ref="A30:C30"/>
    <mergeCell ref="A31:C31"/>
    <mergeCell ref="F31:H31"/>
    <mergeCell ref="L41:M41"/>
    <mergeCell ref="F33:H33"/>
    <mergeCell ref="F34:H34"/>
    <mergeCell ref="K25:M26"/>
    <mergeCell ref="N25:N26"/>
    <mergeCell ref="K27:M27"/>
    <mergeCell ref="K28:M28"/>
    <mergeCell ref="K29:M29"/>
    <mergeCell ref="K30:M30"/>
    <mergeCell ref="K31:M31"/>
    <mergeCell ref="K33:M33"/>
    <mergeCell ref="I25:I26"/>
    <mergeCell ref="Q30:S30"/>
    <mergeCell ref="L42:M42"/>
    <mergeCell ref="B40:C40"/>
    <mergeCell ref="G40:H40"/>
    <mergeCell ref="L40:M40"/>
    <mergeCell ref="A32:C32"/>
    <mergeCell ref="F32:H32"/>
    <mergeCell ref="K32:M32"/>
    <mergeCell ref="K34:M34"/>
    <mergeCell ref="B39:C39"/>
    <mergeCell ref="B41:C41"/>
    <mergeCell ref="B42:C42"/>
    <mergeCell ref="G39:H39"/>
    <mergeCell ref="G41:H41"/>
    <mergeCell ref="G42:H42"/>
    <mergeCell ref="L39:M39"/>
    <mergeCell ref="Q25:S26"/>
    <mergeCell ref="T25:T26"/>
    <mergeCell ref="Q27:S27"/>
    <mergeCell ref="Q28:S28"/>
    <mergeCell ref="Q29:S29"/>
    <mergeCell ref="R41:S41"/>
    <mergeCell ref="R42:S42"/>
    <mergeCell ref="Q31:S31"/>
    <mergeCell ref="Q32:S32"/>
    <mergeCell ref="Q33:S33"/>
    <mergeCell ref="Q34:S34"/>
    <mergeCell ref="R39:S39"/>
    <mergeCell ref="R40:S4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AC45-4034-CC45-8365-CE618E9AE213}">
  <dimension ref="A3:U49"/>
  <sheetViews>
    <sheetView tabSelected="1" topLeftCell="A27" zoomScale="75" workbookViewId="0">
      <selection activeCell="I14" sqref="I14"/>
    </sheetView>
  </sheetViews>
  <sheetFormatPr baseColWidth="10" defaultRowHeight="19" x14ac:dyDescent="0.25"/>
  <cols>
    <col min="1" max="1" width="35.83203125" style="59" customWidth="1"/>
    <col min="2" max="2" width="12.83203125" style="59" customWidth="1"/>
    <col min="3" max="3" width="25.83203125" style="58" customWidth="1"/>
    <col min="4" max="4" width="10.83203125" style="59"/>
    <col min="5" max="5" width="29.6640625" style="59" customWidth="1"/>
    <col min="6" max="6" width="14.5" style="59" customWidth="1"/>
    <col min="7" max="7" width="21.33203125" style="58" customWidth="1"/>
    <col min="8" max="8" width="5.6640625" style="59" customWidth="1"/>
    <col min="9" max="9" width="20.5" style="59" customWidth="1"/>
    <col min="10" max="10" width="6.33203125" style="59" customWidth="1"/>
    <col min="11" max="12" width="6.5" style="59" customWidth="1"/>
    <col min="13" max="13" width="34.33203125" style="59" customWidth="1"/>
    <col min="14" max="14" width="13.83203125" style="59" customWidth="1"/>
    <col min="15" max="15" width="20.6640625" style="59" customWidth="1"/>
    <col min="16" max="16" width="10.83203125" style="59"/>
    <col min="17" max="17" width="27.33203125" style="59" customWidth="1"/>
    <col min="18" max="18" width="10.83203125" style="59"/>
    <col min="19" max="19" width="22.5" style="58" customWidth="1"/>
    <col min="20" max="20" width="5" style="59" customWidth="1"/>
    <col min="21" max="21" width="25.83203125" style="59" customWidth="1"/>
    <col min="22" max="22" width="10.83203125" style="59"/>
    <col min="23" max="23" width="19.83203125" style="59" customWidth="1"/>
    <col min="24" max="16384" width="10.83203125" style="59"/>
  </cols>
  <sheetData>
    <row r="3" spans="1:21" x14ac:dyDescent="0.25">
      <c r="A3" s="56" t="s">
        <v>128</v>
      </c>
      <c r="B3" s="57"/>
      <c r="C3" s="58" t="s">
        <v>151</v>
      </c>
      <c r="D3" s="56"/>
      <c r="E3" s="56" t="s">
        <v>133</v>
      </c>
      <c r="F3" s="56"/>
      <c r="G3" s="58" t="s">
        <v>151</v>
      </c>
      <c r="K3" s="60"/>
      <c r="M3" s="56" t="s">
        <v>128</v>
      </c>
      <c r="N3" s="57"/>
      <c r="O3" s="58" t="s">
        <v>152</v>
      </c>
      <c r="P3" s="56"/>
      <c r="Q3" s="56" t="s">
        <v>140</v>
      </c>
      <c r="R3" s="56"/>
      <c r="S3" s="58" t="s">
        <v>152</v>
      </c>
    </row>
    <row r="4" spans="1:21" x14ac:dyDescent="0.25">
      <c r="A4" s="61" t="s">
        <v>9</v>
      </c>
      <c r="B4" s="61" t="s">
        <v>147</v>
      </c>
      <c r="C4" s="62" t="s">
        <v>112</v>
      </c>
      <c r="D4" s="56"/>
      <c r="E4" s="61" t="s">
        <v>9</v>
      </c>
      <c r="F4" s="61" t="s">
        <v>10</v>
      </c>
      <c r="G4" s="63" t="s">
        <v>112</v>
      </c>
      <c r="I4" s="56"/>
      <c r="K4" s="60"/>
      <c r="M4" s="61" t="s">
        <v>9</v>
      </c>
      <c r="N4" s="61" t="s">
        <v>147</v>
      </c>
      <c r="O4" s="64" t="s">
        <v>112</v>
      </c>
      <c r="P4" s="56"/>
      <c r="Q4" s="61" t="s">
        <v>9</v>
      </c>
      <c r="R4" s="61" t="s">
        <v>10</v>
      </c>
      <c r="S4" s="63" t="s">
        <v>112</v>
      </c>
    </row>
    <row r="5" spans="1:21" x14ac:dyDescent="0.25">
      <c r="A5" s="65" t="s">
        <v>139</v>
      </c>
      <c r="B5" s="65">
        <v>0.75</v>
      </c>
      <c r="C5" s="66">
        <f>B5*('Role-Salary Helper '!C27*102)</f>
        <v>49.724999999999994</v>
      </c>
      <c r="D5" s="67"/>
      <c r="E5" s="68" t="s">
        <v>138</v>
      </c>
      <c r="F5" s="68">
        <v>0.5</v>
      </c>
      <c r="G5" s="66">
        <f>F5*(102*'Role-Salary Helper '!F13)</f>
        <v>14280</v>
      </c>
      <c r="I5" s="69"/>
      <c r="K5" s="60"/>
      <c r="M5" s="65" t="s">
        <v>139</v>
      </c>
      <c r="N5" s="65">
        <v>1</v>
      </c>
      <c r="O5" s="66">
        <f>N5*('Role-Salary Helper '!C27*102)</f>
        <v>66.3</v>
      </c>
      <c r="P5" s="67"/>
      <c r="Q5" s="68" t="s">
        <v>138</v>
      </c>
      <c r="R5" s="68">
        <v>1</v>
      </c>
      <c r="S5" s="93">
        <f>(R5*'Role-Salary Helper '!F13)*102</f>
        <v>28560</v>
      </c>
    </row>
    <row r="6" spans="1:21" x14ac:dyDescent="0.25">
      <c r="A6" s="65" t="s">
        <v>137</v>
      </c>
      <c r="B6" s="65">
        <v>1</v>
      </c>
      <c r="C6" s="66">
        <f>B6*('Role-Salary Helper '!C28*102)</f>
        <v>51</v>
      </c>
      <c r="D6" s="70"/>
      <c r="E6" s="68" t="s">
        <v>141</v>
      </c>
      <c r="F6" s="68">
        <v>0.1</v>
      </c>
      <c r="G6" s="66">
        <f>F6*(102*'Role-Salary Helper '!F16)</f>
        <v>3570</v>
      </c>
      <c r="I6" s="69"/>
      <c r="K6" s="60"/>
      <c r="M6" s="65" t="s">
        <v>137</v>
      </c>
      <c r="N6" s="65">
        <v>2</v>
      </c>
      <c r="O6" s="66">
        <f>N6*('Role-Salary Helper '!C28*102)</f>
        <v>102</v>
      </c>
      <c r="P6" s="70"/>
      <c r="Q6" s="68" t="s">
        <v>141</v>
      </c>
      <c r="R6" s="68">
        <v>0.1</v>
      </c>
      <c r="S6" s="93">
        <f>(R6*'Role-Salary Helper '!F16)*102</f>
        <v>3570</v>
      </c>
    </row>
    <row r="7" spans="1:21" x14ac:dyDescent="0.25">
      <c r="A7" s="65" t="s">
        <v>149</v>
      </c>
      <c r="B7" s="65">
        <v>1</v>
      </c>
      <c r="C7" s="66">
        <f>B7*('Role-Salary Helper '!C29*102)</f>
        <v>0</v>
      </c>
      <c r="D7" s="70"/>
      <c r="E7" s="71" t="s">
        <v>136</v>
      </c>
      <c r="F7" s="65">
        <v>0.1</v>
      </c>
      <c r="G7" s="66">
        <f>F7*(102*'Role-Salary Helper '!F17)</f>
        <v>1530</v>
      </c>
      <c r="I7" s="69"/>
      <c r="K7" s="60"/>
      <c r="M7" s="65" t="s">
        <v>149</v>
      </c>
      <c r="N7" s="65">
        <v>1</v>
      </c>
      <c r="O7" s="66">
        <f>N7*('Role-Salary Helper '!C29*102)</f>
        <v>0</v>
      </c>
      <c r="P7" s="70"/>
      <c r="Q7" s="71" t="s">
        <v>136</v>
      </c>
      <c r="R7" s="65">
        <v>0.75</v>
      </c>
      <c r="S7" s="93">
        <f>(R7*'Role-Salary Helper '!F17)*102</f>
        <v>11475</v>
      </c>
      <c r="U7" s="69"/>
    </row>
    <row r="8" spans="1:21" x14ac:dyDescent="0.25">
      <c r="A8" s="65" t="s">
        <v>40</v>
      </c>
      <c r="B8" s="65">
        <v>1</v>
      </c>
      <c r="C8" s="66">
        <f>B8*('Role-Salary Helper '!C30*102)</f>
        <v>0</v>
      </c>
      <c r="D8" s="70"/>
      <c r="E8" s="107" t="s">
        <v>41</v>
      </c>
      <c r="F8" s="108">
        <v>2.5000000000000001E-2</v>
      </c>
      <c r="G8" s="66">
        <f>F8*(102*'Role-Salary Helper '!F19)</f>
        <v>1530</v>
      </c>
      <c r="I8" s="69"/>
      <c r="K8" s="60"/>
      <c r="M8" s="71" t="s">
        <v>150</v>
      </c>
      <c r="N8" s="65">
        <v>1</v>
      </c>
      <c r="O8" s="66">
        <f>N8*('Role-Salary Helper '!C30*102)</f>
        <v>0</v>
      </c>
      <c r="P8" s="70"/>
      <c r="Q8" s="72" t="s">
        <v>144</v>
      </c>
      <c r="R8" s="73" t="s">
        <v>145</v>
      </c>
      <c r="S8" s="74">
        <f>(SUM('Earning Projections'!D24)*0.5)*0.05</f>
        <v>1287.5</v>
      </c>
      <c r="U8" s="69"/>
    </row>
    <row r="9" spans="1:21" x14ac:dyDescent="0.25">
      <c r="A9" s="71" t="s">
        <v>143</v>
      </c>
      <c r="B9" s="65">
        <v>1</v>
      </c>
      <c r="C9" s="66">
        <f>B9*('Role-Salary Helper '!C16*102)</f>
        <v>22440</v>
      </c>
      <c r="E9" s="72"/>
      <c r="F9" s="73"/>
      <c r="G9" s="66">
        <f>F9*(102*250)</f>
        <v>0</v>
      </c>
      <c r="I9" s="69"/>
      <c r="K9" s="60"/>
      <c r="M9" s="65" t="s">
        <v>143</v>
      </c>
      <c r="N9" s="65">
        <v>1</v>
      </c>
      <c r="O9" s="66">
        <f>N9*('Role-Salary Helper '!C16*102)</f>
        <v>22440</v>
      </c>
      <c r="Q9" s="71" t="s">
        <v>6</v>
      </c>
      <c r="R9" s="65">
        <v>0.5</v>
      </c>
      <c r="S9" s="66">
        <f>R9*(102*'Role-Salary Helper '!F18)</f>
        <v>15300</v>
      </c>
      <c r="U9" s="69"/>
    </row>
    <row r="10" spans="1:21" x14ac:dyDescent="0.25">
      <c r="A10" s="75" t="s">
        <v>162</v>
      </c>
      <c r="B10" s="75">
        <v>2.5</v>
      </c>
      <c r="C10" s="66">
        <f>B10*(36400/2)</f>
        <v>45500</v>
      </c>
      <c r="D10" s="67"/>
      <c r="E10" s="68"/>
      <c r="F10" s="65"/>
      <c r="G10" s="66">
        <f t="shared" ref="G10:G12" si="0">F10*(102*250)</f>
        <v>0</v>
      </c>
      <c r="I10" s="69"/>
      <c r="K10" s="60"/>
      <c r="M10" s="75" t="s">
        <v>162</v>
      </c>
      <c r="N10" s="75">
        <v>3</v>
      </c>
      <c r="O10" s="66">
        <f>N10*(36400/2)</f>
        <v>54600</v>
      </c>
      <c r="P10" s="67"/>
      <c r="Q10" s="107" t="s">
        <v>41</v>
      </c>
      <c r="R10" s="108">
        <v>0.04</v>
      </c>
      <c r="S10" s="66">
        <f>R10*(102*'Role-Salary Helper '!F19)</f>
        <v>2448</v>
      </c>
      <c r="U10" s="69"/>
    </row>
    <row r="11" spans="1:21" x14ac:dyDescent="0.25">
      <c r="A11" s="68"/>
      <c r="B11" s="68"/>
      <c r="C11" s="66">
        <f t="shared" ref="C11:C12" si="1">B11*(102*250)</f>
        <v>0</v>
      </c>
      <c r="D11" s="67"/>
      <c r="E11" s="68"/>
      <c r="F11" s="65"/>
      <c r="G11" s="66">
        <f t="shared" si="0"/>
        <v>0</v>
      </c>
      <c r="I11" s="69"/>
      <c r="K11" s="60"/>
      <c r="M11" s="68"/>
      <c r="N11" s="68"/>
      <c r="O11" s="66">
        <f t="shared" ref="O11:O12" si="2">N11*(102*250)</f>
        <v>0</v>
      </c>
      <c r="P11" s="67"/>
      <c r="Q11" s="68"/>
      <c r="R11" s="65"/>
      <c r="S11" s="66">
        <f t="shared" ref="S11:S12" si="3">R11*(102*250)</f>
        <v>0</v>
      </c>
      <c r="U11" s="69"/>
    </row>
    <row r="12" spans="1:21" x14ac:dyDescent="0.25">
      <c r="A12" s="68"/>
      <c r="B12" s="68"/>
      <c r="C12" s="66">
        <f t="shared" si="1"/>
        <v>0</v>
      </c>
      <c r="D12" s="67"/>
      <c r="E12" s="68"/>
      <c r="F12" s="65"/>
      <c r="G12" s="66">
        <f t="shared" si="0"/>
        <v>0</v>
      </c>
      <c r="I12" s="61" t="s">
        <v>148</v>
      </c>
      <c r="K12" s="60"/>
      <c r="M12" s="68"/>
      <c r="N12" s="68"/>
      <c r="O12" s="66">
        <f t="shared" si="2"/>
        <v>0</v>
      </c>
      <c r="P12" s="67"/>
      <c r="Q12" s="68"/>
      <c r="R12" s="65"/>
      <c r="S12" s="66">
        <f t="shared" si="3"/>
        <v>0</v>
      </c>
      <c r="U12" s="61" t="s">
        <v>148</v>
      </c>
    </row>
    <row r="13" spans="1:21" x14ac:dyDescent="0.25">
      <c r="A13" s="77" t="s">
        <v>146</v>
      </c>
      <c r="B13" s="78">
        <f>SUM(B5:B12)</f>
        <v>7.25</v>
      </c>
      <c r="C13" s="104">
        <f>SUM(C5:C12)</f>
        <v>68040.725000000006</v>
      </c>
      <c r="D13" s="80"/>
      <c r="E13" s="77" t="s">
        <v>146</v>
      </c>
      <c r="F13" s="78">
        <f>SUM(F5:F12)</f>
        <v>0.72499999999999998</v>
      </c>
      <c r="G13" s="104">
        <f>SUM(G5:G12)</f>
        <v>20910</v>
      </c>
      <c r="I13" s="81">
        <f>SUM(G13,C13)</f>
        <v>88950.725000000006</v>
      </c>
      <c r="K13" s="60"/>
      <c r="M13" s="77" t="s">
        <v>146</v>
      </c>
      <c r="N13" s="78">
        <f>SUM(N5:N12)</f>
        <v>9</v>
      </c>
      <c r="O13" s="104">
        <f>SUM(O5:O12)</f>
        <v>77208.3</v>
      </c>
      <c r="P13" s="80"/>
      <c r="Q13" s="77" t="s">
        <v>146</v>
      </c>
      <c r="R13" s="78">
        <f>SUM(R5:R12)</f>
        <v>2.39</v>
      </c>
      <c r="S13" s="104">
        <f>SUM(S5:S12)</f>
        <v>62640.5</v>
      </c>
      <c r="U13" s="81">
        <f>SUM(S13,O13)</f>
        <v>139848.79999999999</v>
      </c>
    </row>
    <row r="14" spans="1:21" x14ac:dyDescent="0.25">
      <c r="U14" s="69"/>
    </row>
    <row r="15" spans="1:21" x14ac:dyDescent="0.25">
      <c r="C15" s="63" t="s">
        <v>113</v>
      </c>
    </row>
    <row r="16" spans="1:21" x14ac:dyDescent="0.25">
      <c r="B16" s="56"/>
      <c r="C16" s="82">
        <f xml:space="preserve"> SUM(U13,I13)</f>
        <v>228799.52499999999</v>
      </c>
    </row>
    <row r="18" spans="1:21" x14ac:dyDescent="0.25">
      <c r="A18" s="83"/>
      <c r="B18" s="56"/>
    </row>
    <row r="19" spans="1:21" x14ac:dyDescent="0.25">
      <c r="A19" s="56" t="s">
        <v>129</v>
      </c>
      <c r="B19" s="57"/>
      <c r="C19" s="58" t="s">
        <v>154</v>
      </c>
      <c r="D19" s="56"/>
      <c r="E19" s="56" t="s">
        <v>134</v>
      </c>
      <c r="F19" s="56"/>
      <c r="G19" s="58" t="s">
        <v>154</v>
      </c>
      <c r="K19" s="84"/>
      <c r="M19" s="56" t="s">
        <v>130</v>
      </c>
      <c r="N19" s="57"/>
      <c r="O19" s="58" t="s">
        <v>153</v>
      </c>
      <c r="P19" s="56"/>
      <c r="Q19" s="56" t="s">
        <v>142</v>
      </c>
      <c r="R19" s="56"/>
      <c r="S19" s="58" t="s">
        <v>153</v>
      </c>
    </row>
    <row r="20" spans="1:21" x14ac:dyDescent="0.25">
      <c r="A20" s="61" t="s">
        <v>9</v>
      </c>
      <c r="B20" s="61" t="s">
        <v>147</v>
      </c>
      <c r="C20" s="62" t="s">
        <v>112</v>
      </c>
      <c r="D20" s="56"/>
      <c r="E20" s="61" t="s">
        <v>9</v>
      </c>
      <c r="F20" s="61" t="s">
        <v>10</v>
      </c>
      <c r="G20" s="63" t="s">
        <v>112</v>
      </c>
      <c r="I20" s="56"/>
      <c r="K20" s="84"/>
      <c r="M20" s="61" t="s">
        <v>9</v>
      </c>
      <c r="N20" s="61" t="s">
        <v>147</v>
      </c>
      <c r="O20" s="64" t="s">
        <v>112</v>
      </c>
      <c r="P20" s="56"/>
      <c r="Q20" s="61" t="s">
        <v>9</v>
      </c>
      <c r="R20" s="61" t="s">
        <v>10</v>
      </c>
      <c r="S20" s="63" t="s">
        <v>112</v>
      </c>
      <c r="U20" s="56"/>
    </row>
    <row r="21" spans="1:21" x14ac:dyDescent="0.25">
      <c r="A21" s="65" t="s">
        <v>139</v>
      </c>
      <c r="B21" s="65">
        <v>1</v>
      </c>
      <c r="C21" s="66">
        <f>B21*('Role-Salary Helper '!C12*102)</f>
        <v>19380</v>
      </c>
      <c r="D21" s="67"/>
      <c r="E21" s="68" t="s">
        <v>138</v>
      </c>
      <c r="F21" s="68">
        <v>0.5</v>
      </c>
      <c r="G21" s="66">
        <f>F21*(102*500)</f>
        <v>25500</v>
      </c>
      <c r="I21" s="69"/>
      <c r="K21" s="84"/>
      <c r="M21" s="65" t="s">
        <v>139</v>
      </c>
      <c r="N21" s="85">
        <v>1</v>
      </c>
      <c r="O21" s="66">
        <f>N21*('Role-Salary Helper '!C12*102)</f>
        <v>19380</v>
      </c>
      <c r="P21" s="67"/>
      <c r="Q21" s="68" t="s">
        <v>138</v>
      </c>
      <c r="R21" s="68">
        <v>0.5</v>
      </c>
      <c r="S21" s="66">
        <f>R21*(102*500)</f>
        <v>25500</v>
      </c>
      <c r="U21" s="69"/>
    </row>
    <row r="22" spans="1:21" x14ac:dyDescent="0.25">
      <c r="A22" s="65" t="s">
        <v>137</v>
      </c>
      <c r="B22" s="65">
        <v>2</v>
      </c>
      <c r="C22" s="66">
        <f>B22*('Role-Salary Helper '!C13*102)</f>
        <v>48960</v>
      </c>
      <c r="D22" s="70"/>
      <c r="E22" s="71" t="s">
        <v>136</v>
      </c>
      <c r="F22" s="65">
        <v>0.75</v>
      </c>
      <c r="G22" s="66">
        <f>F22*(102*250)</f>
        <v>19125</v>
      </c>
      <c r="I22" s="69"/>
      <c r="K22" s="84"/>
      <c r="M22" s="65" t="s">
        <v>137</v>
      </c>
      <c r="N22" s="85">
        <v>1</v>
      </c>
      <c r="O22" s="66">
        <f>N22*('Role-Salary Helper '!C13*102)</f>
        <v>24480</v>
      </c>
      <c r="P22" s="70"/>
      <c r="Q22" s="68" t="s">
        <v>141</v>
      </c>
      <c r="R22" s="68">
        <v>0.2</v>
      </c>
      <c r="S22" s="66">
        <f>R22*(102*500)</f>
        <v>10200</v>
      </c>
      <c r="U22" s="69"/>
    </row>
    <row r="23" spans="1:21" x14ac:dyDescent="0.25">
      <c r="A23" s="65" t="s">
        <v>149</v>
      </c>
      <c r="B23" s="65">
        <v>1</v>
      </c>
      <c r="C23" s="66">
        <f>B23*('Role-Salary Helper '!C14*102)</f>
        <v>21420</v>
      </c>
      <c r="D23" s="70"/>
      <c r="E23" s="72" t="s">
        <v>144</v>
      </c>
      <c r="F23" s="73" t="s">
        <v>145</v>
      </c>
      <c r="G23" s="74">
        <f>(SUM('Earning Projections'!D25,'Earning Projections'!D26)*0.5)*0.05</f>
        <v>5635</v>
      </c>
      <c r="I23" s="69"/>
      <c r="K23" s="84"/>
      <c r="M23" s="65" t="s">
        <v>149</v>
      </c>
      <c r="N23" s="85">
        <v>1</v>
      </c>
      <c r="O23" s="66">
        <f>N23*('Role-Salary Helper '!C14*102)</f>
        <v>21420</v>
      </c>
      <c r="P23" s="70"/>
      <c r="Q23" s="71" t="s">
        <v>136</v>
      </c>
      <c r="R23" s="65">
        <v>0.5</v>
      </c>
      <c r="S23" s="66">
        <f>R23*(102*250)</f>
        <v>12750</v>
      </c>
      <c r="U23" s="69"/>
    </row>
    <row r="24" spans="1:21" x14ac:dyDescent="0.25">
      <c r="A24" s="65" t="s">
        <v>40</v>
      </c>
      <c r="B24" s="65">
        <v>1</v>
      </c>
      <c r="C24" s="66">
        <f>B24*('Role-Salary Helper '!C15*102)</f>
        <v>20400</v>
      </c>
      <c r="D24" s="70"/>
      <c r="E24" s="107" t="s">
        <v>41</v>
      </c>
      <c r="F24" s="108">
        <v>0.05</v>
      </c>
      <c r="G24" s="66">
        <f>F24*(102*'Role-Salary Helper '!F19)</f>
        <v>3060</v>
      </c>
      <c r="I24" s="69"/>
      <c r="K24" s="84"/>
      <c r="M24" s="65" t="s">
        <v>157</v>
      </c>
      <c r="N24" s="85">
        <v>1</v>
      </c>
      <c r="O24" s="66">
        <f>N24*('Role-Salary Helper '!C17*102)</f>
        <v>23970</v>
      </c>
      <c r="P24" s="70"/>
      <c r="Q24" s="72" t="s">
        <v>144</v>
      </c>
      <c r="R24" s="73" t="s">
        <v>145</v>
      </c>
      <c r="S24" s="74">
        <f>(SUM('Earning Projections'!D27,'Earning Projections'!D28)*0.8)*0.05</f>
        <v>34232</v>
      </c>
      <c r="U24" s="69"/>
    </row>
    <row r="25" spans="1:21" x14ac:dyDescent="0.25">
      <c r="A25" s="71" t="s">
        <v>143</v>
      </c>
      <c r="B25" s="65">
        <v>1</v>
      </c>
      <c r="C25" s="66">
        <f>B25*('Role-Salary Helper '!C16*102)</f>
        <v>22440</v>
      </c>
      <c r="E25" s="86"/>
      <c r="F25" s="65"/>
      <c r="G25" s="66">
        <f t="shared" ref="G25:G28" si="4">F25*(102*500)</f>
        <v>0</v>
      </c>
      <c r="I25" s="69"/>
      <c r="K25" s="84"/>
      <c r="M25" s="71" t="s">
        <v>143</v>
      </c>
      <c r="N25" s="65">
        <v>1</v>
      </c>
      <c r="O25" s="66">
        <f>N25*('Role-Salary Helper '!C16*102)</f>
        <v>22440</v>
      </c>
      <c r="Q25" s="107" t="s">
        <v>41</v>
      </c>
      <c r="R25" s="108">
        <v>0.1</v>
      </c>
      <c r="S25" s="66">
        <f>R25*(102*'Role-Salary Helper '!F19)</f>
        <v>6120</v>
      </c>
      <c r="U25" s="69"/>
    </row>
    <row r="26" spans="1:21" x14ac:dyDescent="0.25">
      <c r="A26" s="75" t="s">
        <v>162</v>
      </c>
      <c r="B26" s="75">
        <v>3</v>
      </c>
      <c r="C26" s="66">
        <f>B26*(36400/2)</f>
        <v>54600</v>
      </c>
      <c r="D26" s="67"/>
      <c r="E26" s="68"/>
      <c r="F26" s="65"/>
      <c r="G26" s="66">
        <f t="shared" si="4"/>
        <v>0</v>
      </c>
      <c r="I26" s="69"/>
      <c r="K26" s="84"/>
      <c r="M26" s="65" t="s">
        <v>40</v>
      </c>
      <c r="N26" s="85">
        <v>1</v>
      </c>
      <c r="O26" s="66">
        <f>N26*('Role-Salary Helper '!C15*102)</f>
        <v>20400</v>
      </c>
      <c r="P26" s="67"/>
      <c r="Q26" s="68"/>
      <c r="R26" s="65"/>
      <c r="S26" s="66">
        <f t="shared" ref="S26:S28" si="5">R26*(102*250)</f>
        <v>0</v>
      </c>
      <c r="U26" s="69"/>
    </row>
    <row r="27" spans="1:21" x14ac:dyDescent="0.25">
      <c r="A27" s="87"/>
      <c r="B27" s="68"/>
      <c r="C27" s="66">
        <f t="shared" ref="C27:C28" si="6">B27*(36400/2)</f>
        <v>0</v>
      </c>
      <c r="D27" s="67"/>
      <c r="E27" s="68"/>
      <c r="F27" s="65"/>
      <c r="G27" s="66">
        <f t="shared" si="4"/>
        <v>0</v>
      </c>
      <c r="I27" s="69"/>
      <c r="K27" s="84"/>
      <c r="M27" s="75" t="s">
        <v>162</v>
      </c>
      <c r="N27" s="75">
        <v>3</v>
      </c>
      <c r="O27" s="76">
        <f>N27*(36400/2)</f>
        <v>54600</v>
      </c>
      <c r="P27" s="67"/>
      <c r="Q27" s="68"/>
      <c r="R27" s="65"/>
      <c r="S27" s="66">
        <f t="shared" si="5"/>
        <v>0</v>
      </c>
      <c r="U27" s="69"/>
    </row>
    <row r="28" spans="1:21" x14ac:dyDescent="0.25">
      <c r="A28" s="68"/>
      <c r="B28" s="68"/>
      <c r="C28" s="66">
        <f t="shared" si="6"/>
        <v>0</v>
      </c>
      <c r="D28" s="67"/>
      <c r="E28" s="68"/>
      <c r="F28" s="65"/>
      <c r="G28" s="66">
        <f t="shared" si="4"/>
        <v>0</v>
      </c>
      <c r="I28" s="61" t="s">
        <v>148</v>
      </c>
      <c r="K28" s="84"/>
      <c r="M28" s="68"/>
      <c r="N28" s="88"/>
      <c r="O28" s="66">
        <f t="shared" ref="O28" si="7">N28*(102*250)</f>
        <v>0</v>
      </c>
      <c r="P28" s="67"/>
      <c r="Q28" s="68"/>
      <c r="R28" s="65"/>
      <c r="S28" s="66">
        <f t="shared" si="5"/>
        <v>0</v>
      </c>
      <c r="U28" s="61" t="s">
        <v>148</v>
      </c>
    </row>
    <row r="29" spans="1:21" x14ac:dyDescent="0.25">
      <c r="A29" s="89" t="s">
        <v>14</v>
      </c>
      <c r="B29" s="78">
        <f>SUM(B21:B28)</f>
        <v>9</v>
      </c>
      <c r="C29" s="104">
        <f>SUM(C21:C24)</f>
        <v>110160</v>
      </c>
      <c r="D29" s="67"/>
      <c r="E29" s="77" t="s">
        <v>146</v>
      </c>
      <c r="F29" s="78">
        <f>SUM(F21:F28)</f>
        <v>1.3</v>
      </c>
      <c r="G29" s="104">
        <f>SUM(G21:G25)</f>
        <v>53320</v>
      </c>
      <c r="I29" s="81">
        <f>SUM(G29,C29)</f>
        <v>163480</v>
      </c>
      <c r="K29" s="84"/>
      <c r="M29" s="77" t="s">
        <v>146</v>
      </c>
      <c r="N29" s="78">
        <f>SUM(N21:N28)</f>
        <v>9</v>
      </c>
      <c r="O29" s="104">
        <f>SUM(O21:O25)</f>
        <v>111690</v>
      </c>
      <c r="P29" s="67"/>
      <c r="Q29" s="77" t="s">
        <v>146</v>
      </c>
      <c r="R29" s="78">
        <f>SUM(R21:R28)</f>
        <v>1.3</v>
      </c>
      <c r="S29" s="104">
        <f>SUM(S21:S28)</f>
        <v>88802</v>
      </c>
      <c r="U29" s="81">
        <f>SUM(S29,O29)</f>
        <v>200492</v>
      </c>
    </row>
    <row r="31" spans="1:21" x14ac:dyDescent="0.25">
      <c r="C31" s="63" t="s">
        <v>113</v>
      </c>
    </row>
    <row r="32" spans="1:21" x14ac:dyDescent="0.25">
      <c r="C32" s="81">
        <f>SUM(U29, I29)</f>
        <v>363972</v>
      </c>
    </row>
    <row r="33" spans="1:21" x14ac:dyDescent="0.25">
      <c r="C33" s="83"/>
    </row>
    <row r="35" spans="1:21" x14ac:dyDescent="0.25">
      <c r="A35" s="56" t="s">
        <v>131</v>
      </c>
      <c r="B35" s="56"/>
      <c r="C35" s="58" t="s">
        <v>155</v>
      </c>
      <c r="D35" s="56"/>
      <c r="E35" s="56" t="s">
        <v>135</v>
      </c>
      <c r="F35" s="56"/>
      <c r="G35" s="58" t="s">
        <v>155</v>
      </c>
      <c r="H35" s="57"/>
      <c r="I35" s="57"/>
      <c r="K35" s="84"/>
      <c r="M35" s="56" t="s">
        <v>132</v>
      </c>
      <c r="N35" s="57"/>
      <c r="O35" s="58" t="s">
        <v>156</v>
      </c>
      <c r="P35" s="56"/>
      <c r="Q35" s="56" t="s">
        <v>140</v>
      </c>
      <c r="R35" s="56"/>
      <c r="S35" s="58" t="s">
        <v>156</v>
      </c>
    </row>
    <row r="36" spans="1:21" x14ac:dyDescent="0.25">
      <c r="A36" s="61" t="s">
        <v>9</v>
      </c>
      <c r="B36" s="61" t="s">
        <v>147</v>
      </c>
      <c r="C36" s="90" t="s">
        <v>112</v>
      </c>
      <c r="D36" s="56"/>
      <c r="E36" s="61" t="s">
        <v>9</v>
      </c>
      <c r="F36" s="91" t="s">
        <v>10</v>
      </c>
      <c r="G36" s="92" t="s">
        <v>112</v>
      </c>
      <c r="H36" s="57"/>
      <c r="I36" s="56"/>
      <c r="K36" s="84"/>
      <c r="M36" s="61" t="s">
        <v>9</v>
      </c>
      <c r="N36" s="61" t="s">
        <v>147</v>
      </c>
      <c r="O36" s="64" t="s">
        <v>112</v>
      </c>
      <c r="P36" s="56"/>
      <c r="Q36" s="61" t="s">
        <v>9</v>
      </c>
      <c r="R36" s="61" t="s">
        <v>10</v>
      </c>
      <c r="S36" s="63" t="s">
        <v>112</v>
      </c>
      <c r="U36" s="56"/>
    </row>
    <row r="37" spans="1:21" x14ac:dyDescent="0.25">
      <c r="A37" s="65" t="s">
        <v>139</v>
      </c>
      <c r="B37" s="65">
        <v>1</v>
      </c>
      <c r="C37" s="66">
        <f>B37*('Role-Salary Helper '!C12*102)</f>
        <v>19380</v>
      </c>
      <c r="D37" s="67"/>
      <c r="E37" s="68" t="s">
        <v>138</v>
      </c>
      <c r="F37" s="68">
        <v>0.5</v>
      </c>
      <c r="G37" s="93">
        <v>25500</v>
      </c>
      <c r="H37" s="57"/>
      <c r="I37" s="94"/>
      <c r="K37" s="84"/>
      <c r="M37" s="65" t="s">
        <v>139</v>
      </c>
      <c r="N37" s="65">
        <v>1</v>
      </c>
      <c r="O37" s="66">
        <f>N37*('Role-Salary Helper '!C12*102)</f>
        <v>19380</v>
      </c>
      <c r="P37" s="67"/>
      <c r="Q37" s="68" t="s">
        <v>138</v>
      </c>
      <c r="R37" s="68">
        <v>0.5</v>
      </c>
      <c r="S37" s="66">
        <f>R37*(102*500)</f>
        <v>25500</v>
      </c>
      <c r="U37" s="69"/>
    </row>
    <row r="38" spans="1:21" x14ac:dyDescent="0.25">
      <c r="A38" s="65" t="s">
        <v>137</v>
      </c>
      <c r="B38" s="65">
        <v>1</v>
      </c>
      <c r="C38" s="66">
        <f>B38*('Role-Salary Helper '!C13*102)</f>
        <v>24480</v>
      </c>
      <c r="D38" s="70"/>
      <c r="E38" s="95" t="s">
        <v>136</v>
      </c>
      <c r="F38" s="65">
        <v>0.5</v>
      </c>
      <c r="G38" s="93">
        <v>12750</v>
      </c>
      <c r="H38" s="57"/>
      <c r="I38" s="94"/>
      <c r="K38" s="84"/>
      <c r="M38" s="65" t="s">
        <v>137</v>
      </c>
      <c r="N38" s="65">
        <v>1</v>
      </c>
      <c r="O38" s="66">
        <f t="shared" ref="O38:O41" si="8">N38*(47500/2)</f>
        <v>23750</v>
      </c>
      <c r="P38" s="70"/>
      <c r="Q38" s="68" t="s">
        <v>141</v>
      </c>
      <c r="R38" s="68">
        <v>0.2</v>
      </c>
      <c r="S38" s="66">
        <f>R38*(102*500)</f>
        <v>10200</v>
      </c>
      <c r="U38" s="69"/>
    </row>
    <row r="39" spans="1:21" x14ac:dyDescent="0.25">
      <c r="A39" s="65" t="s">
        <v>149</v>
      </c>
      <c r="B39" s="65">
        <v>1</v>
      </c>
      <c r="C39" s="66">
        <f>B39*('Role-Salary Helper '!C14*102)</f>
        <v>21420</v>
      </c>
      <c r="D39" s="70"/>
      <c r="E39" s="72" t="s">
        <v>144</v>
      </c>
      <c r="F39" s="73" t="s">
        <v>145</v>
      </c>
      <c r="G39" s="74">
        <f>(SUM('Earning Projections'!D29,'Earning Projections'!D30)*0.5)*0.05</f>
        <v>63242.5</v>
      </c>
      <c r="H39" s="57"/>
      <c r="I39" s="94"/>
      <c r="K39" s="84"/>
      <c r="M39" s="65" t="s">
        <v>149</v>
      </c>
      <c r="N39" s="65">
        <v>1</v>
      </c>
      <c r="O39" s="66">
        <f t="shared" si="8"/>
        <v>23750</v>
      </c>
      <c r="P39" s="70"/>
      <c r="Q39" s="71" t="s">
        <v>136</v>
      </c>
      <c r="R39" s="65">
        <v>0.5</v>
      </c>
      <c r="S39" s="66">
        <f>R39*(102*250)</f>
        <v>12750</v>
      </c>
      <c r="U39" s="69"/>
    </row>
    <row r="40" spans="1:21" x14ac:dyDescent="0.25">
      <c r="A40" s="65" t="s">
        <v>40</v>
      </c>
      <c r="B40" s="65">
        <v>1</v>
      </c>
      <c r="C40" s="66">
        <f>B40*('Role-Salary Helper '!C15*102)</f>
        <v>20400</v>
      </c>
      <c r="D40" s="70"/>
      <c r="E40" s="112" t="s">
        <v>41</v>
      </c>
      <c r="F40" s="113">
        <v>0.2</v>
      </c>
      <c r="G40" s="66">
        <f>F40*(102*'Role-Salary Helper '!F19)</f>
        <v>12240</v>
      </c>
      <c r="H40" s="57"/>
      <c r="I40" s="94"/>
      <c r="K40" s="84"/>
      <c r="M40" s="71" t="s">
        <v>143</v>
      </c>
      <c r="N40" s="65">
        <v>1</v>
      </c>
      <c r="O40" s="66">
        <f t="shared" si="8"/>
        <v>23750</v>
      </c>
      <c r="P40" s="70"/>
      <c r="Q40" s="72" t="s">
        <v>144</v>
      </c>
      <c r="R40" s="73" t="s">
        <v>145</v>
      </c>
      <c r="S40" s="74">
        <f>(SUM('Earning Projections'!D31,'Earning Projections'!D32)*0.5)*0.05</f>
        <v>145995</v>
      </c>
      <c r="U40" s="69"/>
    </row>
    <row r="41" spans="1:21" x14ac:dyDescent="0.25">
      <c r="A41" s="71" t="s">
        <v>143</v>
      </c>
      <c r="B41" s="65">
        <v>1</v>
      </c>
      <c r="C41" s="66">
        <f>B41*('Role-Salary Helper '!C16*102)</f>
        <v>22440</v>
      </c>
      <c r="D41" s="57"/>
      <c r="E41" s="72"/>
      <c r="F41" s="73"/>
      <c r="G41" s="66">
        <f t="shared" ref="G41:G44" si="9">F41*(102*250)</f>
        <v>0</v>
      </c>
      <c r="H41" s="57"/>
      <c r="I41" s="94"/>
      <c r="K41" s="84"/>
      <c r="M41" s="65" t="s">
        <v>40</v>
      </c>
      <c r="N41" s="65">
        <v>1</v>
      </c>
      <c r="O41" s="66">
        <f t="shared" si="8"/>
        <v>23750</v>
      </c>
      <c r="Q41" s="112" t="s">
        <v>41</v>
      </c>
      <c r="R41" s="113">
        <v>0.4</v>
      </c>
      <c r="S41" s="66">
        <f>R41*(102*'Role-Salary Helper '!F19)</f>
        <v>24480</v>
      </c>
      <c r="T41" s="96"/>
      <c r="U41" s="69"/>
    </row>
    <row r="42" spans="1:21" x14ac:dyDescent="0.25">
      <c r="A42" s="97" t="s">
        <v>158</v>
      </c>
      <c r="B42" s="98">
        <v>1</v>
      </c>
      <c r="C42" s="66">
        <f>B42*('Role-Salary Helper '!C18*102)</f>
        <v>18360</v>
      </c>
      <c r="D42" s="67"/>
      <c r="E42" s="68"/>
      <c r="F42" s="65"/>
      <c r="G42" s="66">
        <f t="shared" si="9"/>
        <v>0</v>
      </c>
      <c r="H42" s="57"/>
      <c r="I42" s="94"/>
      <c r="K42" s="84"/>
      <c r="M42" s="97" t="s">
        <v>158</v>
      </c>
      <c r="N42" s="98">
        <v>2</v>
      </c>
      <c r="O42" s="66">
        <f>N42*(50000/2)</f>
        <v>50000</v>
      </c>
      <c r="P42" s="67"/>
      <c r="Q42" s="68"/>
      <c r="R42" s="65"/>
      <c r="S42" s="66">
        <f t="shared" ref="S42:S44" si="10">R42*(102*250)</f>
        <v>0</v>
      </c>
      <c r="U42" s="69"/>
    </row>
    <row r="43" spans="1:21" x14ac:dyDescent="0.25">
      <c r="A43" s="65" t="s">
        <v>157</v>
      </c>
      <c r="B43" s="85">
        <v>1</v>
      </c>
      <c r="C43" s="66">
        <f>B43*('Role-Salary Helper '!C17*102)</f>
        <v>23970</v>
      </c>
      <c r="D43" s="67"/>
      <c r="E43" s="68"/>
      <c r="F43" s="65"/>
      <c r="G43" s="66">
        <f t="shared" si="9"/>
        <v>0</v>
      </c>
      <c r="H43" s="57"/>
      <c r="I43" s="94"/>
      <c r="K43" s="84"/>
      <c r="M43" s="65" t="s">
        <v>157</v>
      </c>
      <c r="N43" s="103">
        <v>1</v>
      </c>
      <c r="O43" s="93">
        <v>27500</v>
      </c>
      <c r="P43" s="67"/>
      <c r="Q43" s="68"/>
      <c r="R43" s="65"/>
      <c r="S43" s="66">
        <f t="shared" si="10"/>
        <v>0</v>
      </c>
      <c r="U43" s="69"/>
    </row>
    <row r="44" spans="1:21" x14ac:dyDescent="0.25">
      <c r="A44" s="75" t="s">
        <v>162</v>
      </c>
      <c r="B44" s="75">
        <v>3</v>
      </c>
      <c r="C44" s="66">
        <f>B44*(36400/2)</f>
        <v>54600</v>
      </c>
      <c r="D44" s="67"/>
      <c r="E44" s="99"/>
      <c r="F44" s="100"/>
      <c r="G44" s="66">
        <f t="shared" si="9"/>
        <v>0</v>
      </c>
      <c r="H44" s="57"/>
      <c r="I44" s="61" t="s">
        <v>148</v>
      </c>
      <c r="K44" s="84"/>
      <c r="M44" s="75" t="s">
        <v>162</v>
      </c>
      <c r="N44" s="75">
        <v>3</v>
      </c>
      <c r="O44" s="66">
        <f>N44*(36400/2)</f>
        <v>54600</v>
      </c>
      <c r="P44" s="67"/>
      <c r="Q44" s="68"/>
      <c r="R44" s="65"/>
      <c r="S44" s="66">
        <f t="shared" si="10"/>
        <v>0</v>
      </c>
      <c r="U44" s="61" t="s">
        <v>148</v>
      </c>
    </row>
    <row r="45" spans="1:21" x14ac:dyDescent="0.25">
      <c r="A45" s="77" t="s">
        <v>146</v>
      </c>
      <c r="B45" s="78">
        <f>SUM(B37:B44)</f>
        <v>10</v>
      </c>
      <c r="C45" s="105">
        <f>SUM(C37:C44)</f>
        <v>205050</v>
      </c>
      <c r="D45" s="67"/>
      <c r="E45" s="77" t="s">
        <v>146</v>
      </c>
      <c r="F45" s="78">
        <f>SUM(F37:F44)</f>
        <v>1.2</v>
      </c>
      <c r="G45" s="104">
        <f>SUM(G37:G41)</f>
        <v>113732.5</v>
      </c>
      <c r="H45" s="57"/>
      <c r="I45" s="101">
        <f>SUM(C45,G45)</f>
        <v>318782.5</v>
      </c>
      <c r="K45" s="84"/>
      <c r="M45" s="77" t="s">
        <v>146</v>
      </c>
      <c r="N45" s="78">
        <f>SUM(N37:N44)</f>
        <v>11</v>
      </c>
      <c r="O45" s="104">
        <f>SUM(O37:O44)</f>
        <v>246480</v>
      </c>
      <c r="P45" s="67"/>
      <c r="Q45" s="77" t="s">
        <v>146</v>
      </c>
      <c r="R45" s="78">
        <f>SUM(R37:R44)</f>
        <v>1.6</v>
      </c>
      <c r="S45" s="104">
        <f>SUM(S37:S44)</f>
        <v>218925</v>
      </c>
      <c r="U45" s="81">
        <f>SUM(S45,O45)</f>
        <v>465405</v>
      </c>
    </row>
    <row r="47" spans="1:21" x14ac:dyDescent="0.25">
      <c r="C47" s="63" t="s">
        <v>113</v>
      </c>
      <c r="G47" s="58" t="s">
        <v>159</v>
      </c>
    </row>
    <row r="48" spans="1:21" x14ac:dyDescent="0.25">
      <c r="C48" s="81">
        <f>SUM(U45, I45)</f>
        <v>784187.5</v>
      </c>
      <c r="G48" s="58" t="s">
        <v>160</v>
      </c>
    </row>
    <row r="49" spans="7:7" x14ac:dyDescent="0.25">
      <c r="G49" s="5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Funding Plan</vt:lpstr>
      <vt:lpstr>Employee Plan</vt:lpstr>
      <vt:lpstr>Role-Salary Helper </vt:lpstr>
      <vt:lpstr>Fixed Cost</vt:lpstr>
      <vt:lpstr>Earning Projections</vt:lpstr>
      <vt:lpstr>Marketing</vt:lpstr>
      <vt:lpstr>Cost &amp; Burn Calculation</vt:lpstr>
      <vt:lpstr>initial Dev Cost</vt:lpstr>
      <vt:lpstr>OLD Employee &amp; Contracting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Hannemann</dc:creator>
  <cp:lastModifiedBy>Julian Weber</cp:lastModifiedBy>
  <dcterms:created xsi:type="dcterms:W3CDTF">2025-07-02T17:50:05Z</dcterms:created>
  <dcterms:modified xsi:type="dcterms:W3CDTF">2026-07-10T22:25:59Z</dcterms:modified>
</cp:coreProperties>
</file>