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4f6f7a70914535" /></Relationships>
</file>

<file path=xl/workbook.xml><?xml version="1.0" encoding="utf-8"?>
<x:workbook xmlns:x="http://schemas.openxmlformats.org/spreadsheetml/2006/main">
  <x:sheets>
    <x:sheet xmlns:r="http://schemas.openxmlformats.org/officeDocument/2006/relationships" name="Summary" sheetId="1" r:id="R98b5cee61f874045"/>
    <x:sheet xmlns:r="http://schemas.openxmlformats.org/officeDocument/2006/relationships" name="Assumptions" sheetId="2" r:id="R25637aa13ff1427c"/>
    <x:sheet xmlns:r="http://schemas.openxmlformats.org/officeDocument/2006/relationships" name="Revenue Cohorts" sheetId="3" r:id="Rde8b5a53753f42a2"/>
    <x:sheet xmlns:r="http://schemas.openxmlformats.org/officeDocument/2006/relationships" name="Personnel &amp; Opex" sheetId="4" r:id="R35353e3c63464641"/>
    <x:sheet xmlns:r="http://schemas.openxmlformats.org/officeDocument/2006/relationships" name="Investment &amp; Funding" sheetId="5" r:id="R5e630fbca6dd4820"/>
    <x:sheet xmlns:r="http://schemas.openxmlformats.org/officeDocument/2006/relationships" name="Cash Plan" sheetId="6" r:id="R89a0b6c25a45497e"/>
    <x:sheet xmlns:r="http://schemas.openxmlformats.org/officeDocument/2006/relationships" name="Profitability" sheetId="7" r:id="Rc60d8414e3c74589"/>
    <x:sheet xmlns:r="http://schemas.openxmlformats.org/officeDocument/2006/relationships" name="Scenarios" sheetId="8" r:id="Rc5b850fa3d2446b8"/>
    <x:sheet xmlns:r="http://schemas.openxmlformats.org/officeDocument/2006/relationships" name="Checks &amp; Sources" sheetId="9" r:id="Re331d8856dae478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Red](0.0%);-"/>
    <x:numFmt numFmtId="201" formatCode="€#,##0;[Red](€#,##0);-"/>
    <x:numFmt numFmtId="202" formatCode="#,##0;[Red](#,##0);-"/>
    <x:numFmt numFmtId="203" formatCode="0.0x"/>
  </x:numFmts>
  <x:fonts count="21">
    <x:font>
      <x:sz val="11"/>
      <x:name val="Carlito"/>
    </x:font>
    <x:font>
      <x:b/>
      <x:sz val="18"/>
      <x:color rgb="FFFFFFFF"/>
      <x:name val="Carlito"/>
    </x:font>
    <x:font>
      <x:i/>
      <x:sz val="10"/>
      <x:color rgb="FF59645F"/>
      <x:name val="Carlito"/>
    </x:font>
    <x:font>
      <x:b/>
      <x:sz val="11"/>
      <x:color rgb="FFFFFFFF"/>
      <x:name val="Carlito"/>
    </x:font>
    <x:font>
      <x:sz val="11"/>
      <x:color rgb="FF0000FF"/>
      <x:name val="Carlito"/>
    </x:font>
    <x:font>
      <x:b/>
      <x:sz val="10"/>
      <x:color rgb="FFFFFFFF"/>
      <x:name val="Aptos"/>
    </x:font>
    <x:font>
      <x:i/>
      <x:sz val="10"/>
      <x:color rgb="FF59645F"/>
      <x:name val="Aptos"/>
    </x:font>
    <x:font>
      <x:sz val="10"/>
      <x:name val="Aptos"/>
    </x:font>
    <x:font>
      <x:sz val="10"/>
      <x:color rgb="FF0000FF"/>
      <x:name val="Aptos"/>
    </x:font>
    <x:font>
      <x:b/>
      <x:sz val="18"/>
      <x:color rgb="FFFFFFFF"/>
      <x:name val="Aptos Display"/>
    </x:font>
    <x:font>
      <x:b/>
      <x:sz val="11"/>
      <x:color rgb="FF17332D"/>
      <x:name val="Carlito"/>
    </x:font>
    <x:font>
      <x:b/>
      <x:sz val="9"/>
      <x:color rgb="FFFFFFFF"/>
      <x:name val="Aptos"/>
    </x:font>
    <x:font>
      <x:sz val="9"/>
      <x:name val="Aptos"/>
    </x:font>
    <x:font>
      <x:i/>
      <x:sz val="9"/>
      <x:color rgb="FF59645F"/>
      <x:name val="Aptos"/>
    </x:font>
    <x:font>
      <x:b/>
      <x:sz val="9"/>
      <x:color rgb="FF17332D"/>
      <x:name val="Aptos"/>
    </x:font>
    <x:font>
      <x:sz val="9"/>
      <x:color rgb="FF0000FF"/>
      <x:name val="Aptos"/>
    </x:font>
    <x:font>
      <x:b/>
      <x:sz val="10"/>
      <x:color rgb="FF17332D"/>
      <x:name val="Aptos"/>
    </x:font>
    <x:font>
      <x:sz val="11"/>
      <x:color rgb="FF008000"/>
      <x:name val="Carlito"/>
    </x:font>
    <x:font>
      <x:b/>
      <x:sz val="11"/>
      <x:color rgb="FF0F5B4D"/>
      <x:name val="Carlito"/>
    </x:font>
    <x:font>
      <x:sz val="10"/>
      <x:color rgb="FF008000"/>
      <x:name val="Aptos"/>
    </x:font>
    <x:font>
      <x:b/>
      <x:sz val="10"/>
      <x:color rgb="FF0F5B4D"/>
      <x:name val="Aptos"/>
    </x:font>
  </x:fonts>
  <x:fills count="7">
    <x:fill>
      <x:patternFill patternType="none"/>
    </x:fill>
    <x:fill>
      <x:patternFill patternType="gray125"/>
    </x:fill>
    <x:fill>
      <x:patternFill patternType="solid">
        <x:fgColor rgb="FF0F5B4D"/>
      </x:patternFill>
    </x:fill>
    <x:fill>
      <x:patternFill patternType="solid">
        <x:fgColor rgb="FFF2F5F3"/>
      </x:patternFill>
    </x:fill>
    <x:fill>
      <x:patternFill patternType="solid">
        <x:fgColor rgb="FF17332D"/>
      </x:patternFill>
    </x:fill>
    <x:fill>
      <x:patternFill patternType="solid">
        <x:fgColor rgb="FFDCEBE6"/>
      </x:patternFill>
    </x:fill>
    <x:fill>
      <x:patternFill patternType="solid">
        <x:fgColor rgb="FFFFF0DB"/>
      </x:patternFill>
    </x:fill>
  </x:fills>
  <x:borders count="22">
    <x:border/>
    <x:border>
      <x:right style="thin">
        <x:color rgb="FFD6DEDA"/>
      </x:right>
      <x:bottom style="thin">
        <x:color rgb="FFD6DEDA"/>
      </x:bottom>
    </x:border>
    <x:border>
      <x:left style="thin">
        <x:color rgb="FFD6DEDA"/>
      </x:left>
      <x:right style="thin">
        <x:color rgb="FFD6DEDA"/>
      </x:right>
      <x:bottom style="thin">
        <x:color rgb="FFD6DEDA"/>
      </x:bottom>
    </x:border>
    <x:border>
      <x:left style="thin">
        <x:color rgb="FFD6DEDA"/>
      </x:left>
      <x:bottom style="thin">
        <x:color rgb="FFD6DEDA"/>
      </x:bottom>
    </x:border>
    <x:border>
      <x:right style="thin">
        <x:color rgb="FFD6DEDA"/>
      </x:right>
      <x:top style="thin">
        <x:color rgb="FFD6DEDA"/>
      </x:top>
      <x:bottom style="thin">
        <x:color rgb="FFD6DEDA"/>
      </x:bottom>
    </x:border>
    <x:border>
      <x:left style="thin">
        <x:color rgb="FFD6DEDA"/>
      </x:left>
      <x:right style="thin">
        <x:color rgb="FFD6DEDA"/>
      </x:right>
      <x:top style="thin">
        <x:color rgb="FFD6DEDA"/>
      </x:top>
      <x:bottom style="thin">
        <x:color rgb="FFD6DEDA"/>
      </x:bottom>
    </x:border>
    <x:border>
      <x:left style="thin">
        <x:color rgb="FFD6DEDA"/>
      </x:left>
      <x:top style="thin">
        <x:color rgb="FFD6DEDA"/>
      </x:top>
      <x:bottom style="thin">
        <x:color rgb="FFD6DEDA"/>
      </x:bottom>
    </x:border>
    <x:border>
      <x:right style="thin">
        <x:color rgb="FFD6DEDA"/>
      </x:right>
      <x:top style="thin">
        <x:color rgb="FFD6DEDA"/>
      </x:top>
    </x:border>
    <x:border>
      <x:left style="thin">
        <x:color rgb="FFD6DEDA"/>
      </x:left>
      <x:right style="thin">
        <x:color rgb="FFD6DEDA"/>
      </x:right>
      <x:top style="thin">
        <x:color rgb="FFD6DEDA"/>
      </x:top>
    </x:border>
    <x:border>
      <x:left style="thin">
        <x:color rgb="FFD6DEDA"/>
      </x:left>
      <x:top style="thin">
        <x:color rgb="FFD6DEDA"/>
      </x:top>
    </x:border>
    <x:border>
      <x:left style="thin">
        <x:color rgb="FF0F5B4D"/>
      </x:left>
      <x:top style="thin">
        <x:color rgb="FF0F5B4D"/>
      </x:top>
    </x:border>
    <x:border>
      <x:top style="thin">
        <x:color rgb="FF0F5B4D"/>
      </x:top>
    </x:border>
    <x:border>
      <x:right style="thin">
        <x:color rgb="FF0F5B4D"/>
      </x:right>
      <x:top style="thin">
        <x:color rgb="FF0F5B4D"/>
      </x:top>
    </x:border>
    <x:border>
      <x:left style="thin">
        <x:color rgb="FF0F5B4D"/>
      </x:left>
      <x:bottom style="thin">
        <x:color rgb="FF0F5B4D"/>
      </x:bottom>
    </x:border>
    <x:border>
      <x:bottom style="thin">
        <x:color rgb="FF0F5B4D"/>
      </x:bottom>
    </x:border>
    <x:border>
      <x:right style="thin">
        <x:color rgb="FF0F5B4D"/>
      </x:right>
      <x:bottom style="thin">
        <x:color rgb="FF0F5B4D"/>
      </x:bottom>
    </x:border>
    <x:border>
      <x:top style="medium">
        <x:color rgb="FF0F5B4D"/>
      </x:top>
    </x:border>
    <x:border>
      <x:bottom style="double">
        <x:color rgb="FF0F5B4D"/>
      </x:bottom>
    </x:border>
    <x:border>
      <x:left style="thin">
        <x:color rgb="FF0F5B4D"/>
      </x:left>
      <x:top style="thin">
        <x:color rgb="FF0F5B4D"/>
      </x:top>
      <x:bottom style="thin">
        <x:color rgb="FF0F5B4D"/>
      </x:bottom>
    </x:border>
    <x:border>
      <x:top style="thin">
        <x:color rgb="FF0F5B4D"/>
      </x:top>
      <x:bottom style="thin">
        <x:color rgb="FF0F5B4D"/>
      </x:bottom>
    </x:border>
    <x:border>
      <x:right style="thin">
        <x:color rgb="FF0F5B4D"/>
      </x:right>
      <x:top style="thin">
        <x:color rgb="FF0F5B4D"/>
      </x:top>
      <x:bottom style="thin">
        <x:color rgb="FF0F5B4D"/>
      </x:bottom>
    </x:border>
    <x:border>
      <x:top style="medium">
        <x:color rgb="FF0F5B4D"/>
      </x:top>
      <x:bottom style="double">
        <x:color rgb="FF0F5B4D"/>
      </x:bottom>
    </x:border>
  </x:borders>
  <x:cellStyleXfs count="1">
    <x:xf numFmtId="0" fontId="0" fillId="0" borderId="0"/>
  </x:cellStyleXfs>
  <x:cellXfs count="18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4" fillId="0" borderId="0" xfId="0" applyNumberFormat="1" applyFont="1" applyFill="1" applyBorder="1"/>
    <x:xf numFmtId="200" fontId="4" fillId="0" borderId="0" xfId="0" applyNumberFormat="1" applyFont="1" applyFill="1" applyBorder="1"/>
    <x:xf numFmtId="201" fontId="4" fillId="0" borderId="0" xfId="0" applyNumberFormat="1" applyFont="1" applyFill="1" applyBorder="1"/>
    <x:xf numFmtId="201" fontId="0" fillId="0" borderId="0" xfId="0" applyNumberFormat="1" applyFont="1" applyFill="1" applyBorder="1"/>
    <x:xf numFmtId="202" fontId="4" fillId="0" borderId="0" xfId="0" applyNumberFormat="1" applyFont="1" applyFill="1" applyBorder="1"/>
    <x:xf numFmtId="0" fontId="0" fillId="0" borderId="1" xfId="0" applyNumberFormat="1" applyFont="1" applyFill="1" applyBorder="1"/>
    <x:xf numFmtId="201" fontId="4" fillId="0" borderId="2"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201" fontId="4" fillId="0" borderId="5" xfId="0" applyNumberFormat="1" applyFont="1" applyFill="1" applyBorder="1"/>
    <x:xf numFmtId="0" fontId="0" fillId="0" borderId="5" xfId="0" applyNumberFormat="1" applyFont="1" applyFill="1" applyBorder="1"/>
    <x:xf numFmtId="0" fontId="0" fillId="0" borderId="6" xfId="0" applyNumberFormat="1" applyFont="1" applyFill="1" applyBorder="1"/>
    <x:xf numFmtId="200" fontId="4" fillId="0" borderId="5" xfId="0" applyNumberFormat="1" applyFont="1" applyFill="1" applyBorder="1"/>
    <x:xf numFmtId="0" fontId="4" fillId="0" borderId="5" xfId="0" applyNumberFormat="1" applyFont="1" applyFill="1" applyBorder="1"/>
    <x:xf numFmtId="201" fontId="0" fillId="0" borderId="5" xfId="0" applyNumberFormat="1" applyFont="1" applyFill="1" applyBorder="1"/>
    <x:xf numFmtId="0" fontId="3" fillId="4" borderId="4" xfId="0" applyNumberFormat="1" applyFont="1" applyFill="1" applyBorder="1" applyAlignment="1">
      <x:alignment vertical="center"/>
    </x:xf>
    <x:xf numFmtId="0" fontId="3" fillId="4" borderId="5" xfId="0" applyNumberFormat="1" applyFont="1" applyFill="1" applyBorder="1" applyAlignment="1">
      <x:alignment vertical="center"/>
    </x:xf>
    <x:xf numFmtId="0" fontId="3" fillId="4" borderId="6" xfId="0" applyNumberFormat="1" applyFont="1" applyFill="1" applyBorder="1" applyAlignment="1">
      <x:alignment vertical="center"/>
    </x:xf>
    <x:xf numFmtId="202" fontId="4" fillId="0" borderId="5" xfId="0" applyNumberFormat="1" applyFont="1" applyFill="1" applyBorder="1"/>
    <x:xf numFmtId="0" fontId="0" fillId="0" borderId="7" xfId="0" applyNumberFormat="1" applyFont="1" applyFill="1" applyBorder="1"/>
    <x:xf numFmtId="201" fontId="0" fillId="0" borderId="8"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5" fillId="2"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7" fillId="0" borderId="0" xfId="0" applyNumberFormat="1" applyFont="1" applyFill="1" applyBorder="1"/>
    <x:xf numFmtId="0" fontId="5" fillId="4" borderId="0" xfId="0" applyNumberFormat="1" applyFont="1" applyFill="1" applyBorder="1" applyAlignment="1">
      <x:alignment vertical="center"/>
    </x:xf>
    <x:xf numFmtId="0" fontId="7" fillId="0" borderId="1" xfId="0" applyNumberFormat="1" applyFont="1" applyFill="1" applyBorder="1"/>
    <x:xf numFmtId="201" fontId="8" fillId="0" borderId="2"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201" fontId="8" fillId="0" borderId="5" xfId="0" applyNumberFormat="1" applyFont="1" applyFill="1" applyBorder="1"/>
    <x:xf numFmtId="0" fontId="7" fillId="0" borderId="5" xfId="0" applyNumberFormat="1" applyFont="1" applyFill="1" applyBorder="1"/>
    <x:xf numFmtId="0" fontId="7" fillId="0" borderId="6" xfId="0" applyNumberFormat="1" applyFont="1" applyFill="1" applyBorder="1"/>
    <x:xf numFmtId="200" fontId="8" fillId="0" borderId="5" xfId="0" applyNumberFormat="1" applyFont="1" applyFill="1" applyBorder="1"/>
    <x:xf numFmtId="0" fontId="8" fillId="0" borderId="5" xfId="0" applyNumberFormat="1" applyFont="1" applyFill="1" applyBorder="1"/>
    <x:xf numFmtId="201" fontId="7" fillId="0" borderId="5" xfId="0" applyNumberFormat="1" applyFont="1" applyFill="1" applyBorder="1"/>
    <x:xf numFmtId="0" fontId="5" fillId="4" borderId="4" xfId="0" applyNumberFormat="1" applyFont="1" applyFill="1" applyBorder="1" applyAlignment="1">
      <x:alignment vertical="center"/>
    </x:xf>
    <x:xf numFmtId="0" fontId="5" fillId="4" borderId="5" xfId="0" applyNumberFormat="1" applyFont="1" applyFill="1" applyBorder="1" applyAlignment="1">
      <x:alignment vertical="center"/>
    </x:xf>
    <x:xf numFmtId="0" fontId="5" fillId="4" borderId="6" xfId="0" applyNumberFormat="1" applyFont="1" applyFill="1" applyBorder="1" applyAlignment="1">
      <x:alignment vertical="center"/>
    </x:xf>
    <x:xf numFmtId="202" fontId="8" fillId="0" borderId="5" xfId="0" applyNumberFormat="1" applyFont="1" applyFill="1" applyBorder="1"/>
    <x:xf numFmtId="0" fontId="7" fillId="0" borderId="7" xfId="0" applyNumberFormat="1" applyFont="1" applyFill="1" applyBorder="1"/>
    <x:xf numFmtId="201" fontId="7" fillId="0" borderId="8"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9" fillId="2" borderId="0" xfId="0" applyNumberFormat="1" applyFont="1" applyFill="1" applyBorder="1" applyAlignment="1">
      <x:alignment vertical="center"/>
    </x:xf>
    <x:xf numFmtId="0" fontId="7" fillId="0" borderId="3" xfId="0" applyNumberFormat="1" applyFont="1" applyFill="1" applyBorder="1" applyAlignment="1">
      <x:alignment wrapText="1"/>
    </x:xf>
    <x:xf numFmtId="0" fontId="7" fillId="0" borderId="6" xfId="0" applyNumberFormat="1" applyFont="1" applyFill="1" applyBorder="1" applyAlignment="1">
      <x:alignment wrapText="1"/>
    </x:xf>
    <x:xf numFmtId="0" fontId="5" fillId="4" borderId="6" xfId="0" applyNumberFormat="1" applyFont="1" applyFill="1" applyBorder="1" applyAlignment="1">
      <x:alignment vertical="center" wrapText="1"/>
    </x:xf>
    <x:xf numFmtId="0" fontId="0" fillId="5" borderId="0" xfId="0" applyNumberFormat="1" applyFont="1" applyFill="1" applyBorder="1"/>
    <x:xf numFmtId="0" fontId="10" fillId="5" borderId="0" xfId="0" applyNumberFormat="1" applyFont="1" applyFill="1" applyBorder="1"/>
    <x:xf numFmtId="0" fontId="10" fillId="5" borderId="10" xfId="0" applyNumberFormat="1" applyFont="1" applyFill="1" applyBorder="1"/>
    <x:xf numFmtId="0" fontId="10" fillId="5" borderId="11" xfId="0" applyNumberFormat="1" applyFont="1" applyFill="1" applyBorder="1"/>
    <x:xf numFmtId="0" fontId="10" fillId="5" borderId="12" xfId="0" applyNumberFormat="1" applyFont="1" applyFill="1" applyBorder="1"/>
    <x:xf numFmtId="0" fontId="10" fillId="5" borderId="13" xfId="0" applyNumberFormat="1" applyFont="1" applyFill="1" applyBorder="1"/>
    <x:xf numFmtId="0" fontId="10" fillId="5" borderId="14" xfId="0" applyNumberFormat="1" applyFont="1" applyFill="1" applyBorder="1"/>
    <x:xf numFmtId="0" fontId="10" fillId="5" borderId="15" xfId="0" applyNumberFormat="1" applyFont="1" applyFill="1" applyBorder="1"/>
    <x:xf numFmtId="0" fontId="10" fillId="5" borderId="10" xfId="0" applyNumberFormat="1" applyFont="1" applyFill="1" applyBorder="1" applyAlignment="1">
      <x:alignment wrapText="1"/>
    </x:xf>
    <x:xf numFmtId="0" fontId="10" fillId="5" borderId="11" xfId="0" applyNumberFormat="1" applyFont="1" applyFill="1" applyBorder="1" applyAlignment="1">
      <x:alignment wrapText="1"/>
    </x:xf>
    <x:xf numFmtId="0" fontId="10" fillId="5" borderId="12" xfId="0" applyNumberFormat="1" applyFont="1" applyFill="1" applyBorder="1" applyAlignment="1">
      <x:alignment wrapText="1"/>
    </x:xf>
    <x:xf numFmtId="0" fontId="10" fillId="5" borderId="13" xfId="0" applyNumberFormat="1" applyFont="1" applyFill="1" applyBorder="1" applyAlignment="1">
      <x:alignment wrapText="1"/>
    </x:xf>
    <x:xf numFmtId="0" fontId="10" fillId="5" borderId="14" xfId="0" applyNumberFormat="1" applyFont="1" applyFill="1" applyBorder="1" applyAlignment="1">
      <x:alignment wrapText="1"/>
    </x:xf>
    <x:xf numFmtId="0" fontId="10" fillId="5" borderId="15" xfId="0" applyNumberFormat="1" applyFont="1" applyFill="1" applyBorder="1" applyAlignment="1">
      <x:alignment wrapText="1"/>
    </x:xf>
    <x:xf numFmtId="0" fontId="10" fillId="5" borderId="10" xfId="0" applyNumberFormat="1" applyFont="1" applyFill="1" applyBorder="1" applyAlignment="1">
      <x:alignment vertical="center" wrapText="1"/>
    </x:xf>
    <x:xf numFmtId="0" fontId="10" fillId="5" borderId="11" xfId="0" applyNumberFormat="1" applyFont="1" applyFill="1" applyBorder="1" applyAlignment="1">
      <x:alignment vertical="center" wrapText="1"/>
    </x:xf>
    <x:xf numFmtId="0" fontId="10" fillId="5" borderId="12" xfId="0" applyNumberFormat="1" applyFont="1" applyFill="1" applyBorder="1" applyAlignment="1">
      <x:alignment vertical="center" wrapText="1"/>
    </x:xf>
    <x:xf numFmtId="0" fontId="10" fillId="5" borderId="13" xfId="0" applyNumberFormat="1" applyFont="1" applyFill="1" applyBorder="1" applyAlignment="1">
      <x:alignment vertical="center" wrapText="1"/>
    </x:xf>
    <x:xf numFmtId="0" fontId="10" fillId="5" borderId="14" xfId="0" applyNumberFormat="1" applyFont="1" applyFill="1" applyBorder="1" applyAlignment="1">
      <x:alignment vertical="center" wrapText="1"/>
    </x:xf>
    <x:xf numFmtId="0" fontId="10" fillId="5" borderId="15" xfId="0" applyNumberFormat="1" applyFont="1" applyFill="1" applyBorder="1" applyAlignment="1">
      <x:alignment vertical="center" wrapText="1"/>
    </x:xf>
    <x:xf numFmtId="0" fontId="10" fillId="5" borderId="16" xfId="0" applyNumberFormat="1" applyFont="1" applyFill="1" applyBorder="1"/>
    <x:xf numFmtId="0" fontId="10" fillId="5" borderId="17" xfId="0" applyNumberFormat="1" applyFont="1" applyFill="1" applyBorder="1"/>
    <x:xf numFmtId="201" fontId="10" fillId="5" borderId="16" xfId="0" applyNumberFormat="1" applyFont="1" applyFill="1" applyBorder="1"/>
    <x:xf numFmtId="201" fontId="10" fillId="5" borderId="17" xfId="0" applyNumberFormat="1" applyFont="1" applyFill="1" applyBorder="1"/>
    <x:xf numFmtId="0" fontId="10" fillId="5" borderId="18" xfId="0" applyNumberFormat="1" applyFont="1" applyFill="1" applyBorder="1"/>
    <x:xf numFmtId="0" fontId="10" fillId="5" borderId="19" xfId="0" applyNumberFormat="1" applyFont="1" applyFill="1" applyBorder="1"/>
    <x:xf numFmtId="0" fontId="10" fillId="5" borderId="20" xfId="0" applyNumberFormat="1" applyFont="1" applyFill="1" applyBorder="1"/>
    <x:xf numFmtId="0" fontId="10" fillId="5" borderId="18" xfId="0" applyNumberFormat="1" applyFont="1" applyFill="1" applyBorder="1" applyAlignment="1">
      <x:alignment wrapText="1"/>
    </x:xf>
    <x:xf numFmtId="0" fontId="10" fillId="5" borderId="19" xfId="0" applyNumberFormat="1" applyFont="1" applyFill="1" applyBorder="1" applyAlignment="1">
      <x:alignment wrapText="1"/>
    </x:xf>
    <x:xf numFmtId="0" fontId="10" fillId="5" borderId="20" xfId="0" applyNumberFormat="1" applyFont="1" applyFill="1" applyBorder="1" applyAlignment="1">
      <x:alignment wrapText="1"/>
    </x:xf>
    <x:xf numFmtId="0" fontId="10" fillId="5" borderId="18" xfId="0" applyNumberFormat="1" applyFont="1" applyFill="1" applyBorder="1" applyAlignment="1">
      <x:alignment vertical="center" wrapText="1"/>
    </x:xf>
    <x:xf numFmtId="0" fontId="10" fillId="5" borderId="19" xfId="0" applyNumberFormat="1" applyFont="1" applyFill="1" applyBorder="1" applyAlignment="1">
      <x:alignment vertical="center" wrapText="1"/>
    </x:xf>
    <x:xf numFmtId="0" fontId="10" fillId="5" borderId="20" xfId="0" applyNumberFormat="1" applyFont="1" applyFill="1" applyBorder="1" applyAlignment="1">
      <x:alignment vertical="center" wrapText="1"/>
    </x:xf>
    <x:xf numFmtId="202" fontId="0" fillId="0" borderId="0" xfId="0" applyNumberFormat="1" applyFont="1" applyFill="1" applyBorder="1"/>
    <x:xf numFmtId="201" fontId="0" fillId="5" borderId="0" xfId="0" applyNumberFormat="1" applyFont="1" applyFill="1" applyBorder="1"/>
    <x:xf numFmtId="201" fontId="10" fillId="5" borderId="0" xfId="0" applyNumberFormat="1" applyFont="1" applyFill="1" applyBorder="1"/>
    <x:xf numFmtId="0" fontId="11" fillId="2" borderId="0" xfId="0" applyNumberFormat="1" applyFont="1" applyFill="1" applyBorder="1" applyAlignment="1">
      <x:alignment vertical="center"/>
    </x:xf>
    <x:xf numFmtId="0" fontId="12" fillId="0" borderId="0" xfId="0" applyNumberFormat="1" applyFont="1" applyFill="1" applyBorder="1"/>
    <x:xf numFmtId="0" fontId="13" fillId="3" borderId="0" xfId="0" applyNumberFormat="1" applyFont="1" applyFill="1" applyBorder="1" applyAlignment="1">
      <x:alignment vertical="center"/>
    </x:xf>
    <x:xf numFmtId="0" fontId="14" fillId="5" borderId="10" xfId="0" applyNumberFormat="1" applyFont="1" applyFill="1" applyBorder="1" applyAlignment="1">
      <x:alignment vertical="center" wrapText="1"/>
    </x:xf>
    <x:xf numFmtId="0" fontId="14" fillId="5" borderId="11" xfId="0" applyNumberFormat="1" applyFont="1" applyFill="1" applyBorder="1" applyAlignment="1">
      <x:alignment vertical="center" wrapText="1"/>
    </x:xf>
    <x:xf numFmtId="0" fontId="14" fillId="5" borderId="12" xfId="0" applyNumberFormat="1" applyFont="1" applyFill="1" applyBorder="1" applyAlignment="1">
      <x:alignment vertical="center" wrapText="1"/>
    </x:xf>
    <x:xf numFmtId="0" fontId="14" fillId="5" borderId="13" xfId="0" applyNumberFormat="1" applyFont="1" applyFill="1" applyBorder="1" applyAlignment="1">
      <x:alignment vertical="center" wrapText="1"/>
    </x:xf>
    <x:xf numFmtId="0" fontId="14" fillId="5" borderId="14" xfId="0" applyNumberFormat="1" applyFont="1" applyFill="1" applyBorder="1" applyAlignment="1">
      <x:alignment vertical="center" wrapText="1"/>
    </x:xf>
    <x:xf numFmtId="0" fontId="14" fillId="5" borderId="15" xfId="0" applyNumberFormat="1" applyFont="1" applyFill="1" applyBorder="1" applyAlignment="1">
      <x:alignment vertical="center" wrapText="1"/>
    </x:xf>
    <x:xf numFmtId="0" fontId="15" fillId="0" borderId="0" xfId="0" applyNumberFormat="1" applyFont="1" applyFill="1" applyBorder="1"/>
    <x:xf numFmtId="201" fontId="15" fillId="0" borderId="0" xfId="0" applyNumberFormat="1" applyFont="1" applyFill="1" applyBorder="1"/>
    <x:xf numFmtId="201" fontId="12" fillId="0" borderId="0" xfId="0" applyNumberFormat="1" applyFont="1" applyFill="1" applyBorder="1"/>
    <x:xf numFmtId="0" fontId="14" fillId="5" borderId="16" xfId="0" applyNumberFormat="1" applyFont="1" applyFill="1" applyBorder="1"/>
    <x:xf numFmtId="201" fontId="14" fillId="5" borderId="16" xfId="0" applyNumberFormat="1" applyFont="1" applyFill="1" applyBorder="1"/>
    <x:xf numFmtId="0" fontId="14" fillId="5" borderId="17" xfId="0" applyNumberFormat="1" applyFont="1" applyFill="1" applyBorder="1"/>
    <x:xf numFmtId="201" fontId="14" fillId="5" borderId="17" xfId="0" applyNumberFormat="1" applyFont="1" applyFill="1" applyBorder="1"/>
    <x:xf numFmtId="0" fontId="11" fillId="4" borderId="0" xfId="0" applyNumberFormat="1" applyFont="1" applyFill="1" applyBorder="1" applyAlignment="1">
      <x:alignment vertical="center"/>
    </x:xf>
    <x:xf numFmtId="0" fontId="14" fillId="5" borderId="18" xfId="0" applyNumberFormat="1" applyFont="1" applyFill="1" applyBorder="1" applyAlignment="1">
      <x:alignment vertical="center" wrapText="1"/>
    </x:xf>
    <x:xf numFmtId="0" fontId="14" fillId="5" borderId="19" xfId="0" applyNumberFormat="1" applyFont="1" applyFill="1" applyBorder="1" applyAlignment="1">
      <x:alignment vertical="center" wrapText="1"/>
    </x:xf>
    <x:xf numFmtId="0" fontId="14" fillId="5" borderId="20" xfId="0" applyNumberFormat="1" applyFont="1" applyFill="1" applyBorder="1" applyAlignment="1">
      <x:alignment vertical="center" wrapText="1"/>
    </x:xf>
    <x:xf numFmtId="202" fontId="12" fillId="0" borderId="0" xfId="0" applyNumberFormat="1" applyFont="1" applyFill="1" applyBorder="1"/>
    <x:xf numFmtId="0" fontId="14" fillId="5" borderId="0" xfId="0" applyNumberFormat="1" applyFont="1" applyFill="1" applyBorder="1"/>
    <x:xf numFmtId="201" fontId="14" fillId="5" borderId="0" xfId="0" applyNumberFormat="1" applyFont="1" applyFill="1" applyBorder="1"/>
    <x:xf numFmtId="0" fontId="10" fillId="5" borderId="21" xfId="0" applyNumberFormat="1" applyFont="1" applyFill="1" applyBorder="1"/>
    <x:xf numFmtId="201" fontId="3" fillId="4" borderId="0" xfId="0" applyNumberFormat="1" applyFont="1" applyFill="1" applyBorder="1" applyAlignment="1">
      <x:alignment vertical="center"/>
    </x:xf>
    <x:xf numFmtId="201" fontId="10" fillId="5" borderId="21" xfId="0" applyNumberFormat="1" applyFont="1" applyFill="1" applyBorder="1"/>
    <x:xf numFmtId="201" fontId="11" fillId="4" borderId="0" xfId="0" applyNumberFormat="1" applyFont="1" applyFill="1" applyBorder="1" applyAlignment="1">
      <x:alignment vertical="center"/>
    </x:xf>
    <x:xf numFmtId="0" fontId="14" fillId="5" borderId="21" xfId="0" applyNumberFormat="1" applyFont="1" applyFill="1" applyBorder="1"/>
    <x:xf numFmtId="201" fontId="14" fillId="5" borderId="21" xfId="0" applyNumberFormat="1" applyFont="1" applyFill="1" applyBorder="1"/>
    <x:xf numFmtId="203" fontId="0" fillId="0" borderId="0" xfId="0" applyNumberFormat="1" applyFont="1" applyFill="1" applyBorder="1"/>
    <x:xf numFmtId="0" fontId="0" fillId="0" borderId="0" xfId="0" applyNumberFormat="1" applyFont="1" applyFill="1" applyBorder="1" applyAlignment="1">
      <x:alignment wrapText="1"/>
    </x:xf>
    <x:xf numFmtId="0" fontId="16" fillId="5" borderId="18" xfId="0" applyNumberFormat="1" applyFont="1" applyFill="1" applyBorder="1" applyAlignment="1">
      <x:alignment vertical="center" wrapText="1"/>
    </x:xf>
    <x:xf numFmtId="0" fontId="16" fillId="5" borderId="19" xfId="0" applyNumberFormat="1" applyFont="1" applyFill="1" applyBorder="1" applyAlignment="1">
      <x:alignment vertical="center" wrapText="1"/>
    </x:xf>
    <x:xf numFmtId="0" fontId="16" fillId="5" borderId="20" xfId="0" applyNumberFormat="1" applyFont="1" applyFill="1" applyBorder="1" applyAlignment="1">
      <x:alignment vertical="center" wrapText="1"/>
    </x:xf>
    <x:xf numFmtId="201" fontId="7" fillId="0" borderId="0" xfId="0" applyNumberFormat="1" applyFont="1" applyFill="1" applyBorder="1"/>
    <x:xf numFmtId="0" fontId="16" fillId="5" borderId="16" xfId="0" applyNumberFormat="1" applyFont="1" applyFill="1" applyBorder="1"/>
    <x:xf numFmtId="201" fontId="16" fillId="5" borderId="16" xfId="0" applyNumberFormat="1" applyFont="1" applyFill="1" applyBorder="1"/>
    <x:xf numFmtId="0" fontId="16" fillId="5" borderId="0" xfId="0" applyNumberFormat="1" applyFont="1" applyFill="1" applyBorder="1"/>
    <x:xf numFmtId="201" fontId="16" fillId="5" borderId="0" xfId="0" applyNumberFormat="1" applyFont="1" applyFill="1" applyBorder="1"/>
    <x:xf numFmtId="0" fontId="16" fillId="5" borderId="17" xfId="0" applyNumberFormat="1" applyFont="1" applyFill="1" applyBorder="1"/>
    <x:xf numFmtId="201" fontId="16" fillId="5" borderId="17" xfId="0" applyNumberFormat="1" applyFont="1" applyFill="1" applyBorder="1"/>
    <x:xf numFmtId="202" fontId="7" fillId="0" borderId="0" xfId="0" applyNumberFormat="1" applyFont="1" applyFill="1" applyBorder="1"/>
    <x:xf numFmtId="203" fontId="7" fillId="0" borderId="0" xfId="0" applyNumberFormat="1" applyFont="1" applyFill="1" applyBorder="1"/>
    <x:xf numFmtId="0" fontId="7" fillId="0" borderId="0" xfId="0" applyNumberFormat="1" applyFont="1" applyFill="1" applyBorder="1" applyAlignment="1">
      <x:alignment wrapText="1"/>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200" fontId="8" fillId="0" borderId="0" xfId="0" applyNumberFormat="1" applyFont="1" applyFill="1" applyBorder="1"/>
    <x:xf numFmtId="201" fontId="8" fillId="0" borderId="0" xfId="0" applyNumberFormat="1" applyFont="1" applyFill="1" applyBorder="1"/>
    <x:xf numFmtId="0" fontId="5" fillId="4" borderId="0" xfId="0" applyNumberFormat="1" applyFont="1" applyFill="1" applyBorder="1"/>
    <x:xf numFmtId="0" fontId="16" fillId="6" borderId="0" xfId="0" applyNumberFormat="1" applyFont="1" applyFill="1" applyBorder="1" applyAlignment="1">
      <x:alignment wrapText="1"/>
    </x:xf>
    <x:xf numFmtId="202" fontId="17" fillId="0" borderId="0" xfId="0" applyNumberFormat="1" applyFont="1" applyFill="1" applyBorder="1"/>
    <x:xf numFmtId="201" fontId="17" fillId="0" borderId="0" xfId="0" applyNumberFormat="1" applyFont="1" applyFill="1" applyBorder="1"/>
    <x:xf numFmtId="203" fontId="17" fillId="0" borderId="0" xfId="0" applyNumberFormat="1" applyFont="1" applyFill="1" applyBorder="1"/>
    <x:xf numFmtId="0" fontId="18" fillId="5" borderId="0" xfId="0" applyNumberFormat="1" applyFont="1" applyFill="1" applyBorder="1"/>
    <x:xf numFmtId="0" fontId="18" fillId="5" borderId="0" xfId="0" applyNumberFormat="1" applyFont="1" applyFill="1" applyBorder="1" applyAlignment="1">
      <x:alignment horizontal="center"/>
    </x:xf>
    <x:xf numFmtId="0" fontId="0" fillId="3" borderId="0" xfId="0" applyNumberFormat="1" applyFont="1" applyFill="1" applyBorder="1" applyAlignment="1">
      <x:alignment wrapText="1"/>
    </x:xf>
    <x:xf numFmtId="202" fontId="19" fillId="0" borderId="0" xfId="0" applyNumberFormat="1" applyFont="1" applyFill="1" applyBorder="1"/>
    <x:xf numFmtId="201" fontId="19" fillId="0" borderId="0" xfId="0" applyNumberFormat="1" applyFont="1" applyFill="1" applyBorder="1"/>
    <x:xf numFmtId="203" fontId="19" fillId="0" borderId="0" xfId="0" applyNumberFormat="1" applyFont="1" applyFill="1" applyBorder="1"/>
    <x:xf numFmtId="0" fontId="20" fillId="5" borderId="0" xfId="0" applyNumberFormat="1" applyFont="1" applyFill="1" applyBorder="1" applyAlignment="1">
      <x:alignment horizontal="center"/>
    </x:xf>
    <x:xf numFmtId="0" fontId="7" fillId="3" borderId="0" xfId="0" applyNumberFormat="1" applyFont="1" applyFill="1" applyBorder="1" applyAlignment="1">
      <x:alignment wrapText="1"/>
    </x:xf>
    <x:xf numFmtId="0" fontId="12" fillId="0" borderId="0" xfId="0" applyNumberFormat="1" applyFont="1" applyFill="1" applyBorder="1" applyAlignment="1">
      <x:alignment wrapText="1"/>
    </x:xf>
    <x:xf numFmtId="0" fontId="7" fillId="0" borderId="0" xfId="0" applyNumberFormat="1" applyFont="1" applyFill="1" applyBorder="1" applyAlignment="1">
      <x:alignment vertical="center"/>
    </x:xf>
    <x:xf numFmtId="202" fontId="19"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201" fontId="19" fillId="0" borderId="0" xfId="0" applyNumberFormat="1" applyFont="1" applyFill="1" applyBorder="1" applyAlignment="1">
      <x:alignment vertical="center"/>
    </x:xf>
    <x:xf numFmtId="203" fontId="19" fillId="0" borderId="0" xfId="0" applyNumberFormat="1" applyFont="1" applyFill="1" applyBorder="1" applyAlignment="1">
      <x:alignment vertical="center"/>
    </x:xf>
    <x:xf numFmtId="0" fontId="20" fillId="5" borderId="0" xfId="0" applyNumberFormat="1" applyFont="1" applyFill="1" applyBorder="1" applyAlignment="1">
      <x:alignment horizontal="center" vertical="center"/>
    </x:xf>
    <x:xf numFmtId="0" fontId="7" fillId="3" borderId="0" xfId="0" applyNumberFormat="1" applyFont="1" applyFill="1" applyBorder="1" applyAlignment="1">
      <x:alignment vertical="center" wrapText="1"/>
    </x:xf>
    <x:xf numFmtId="0" fontId="12" fillId="0" borderId="0" xfId="0" applyNumberFormat="1" applyFont="1" applyFill="1" applyBorder="1" applyAlignment="1">
      <x:alignment vertical="center"/>
    </x:xf>
    <x:xf numFmtId="201" fontId="12" fillId="0" borderId="0" xfId="0" applyNumberFormat="1" applyFont="1" applyFill="1" applyBorder="1" applyAlignment="1">
      <x:alignment vertical="center"/>
    </x:xf>
    <x:xf numFmtId="0" fontId="14" fillId="5" borderId="21" xfId="0" applyNumberFormat="1" applyFont="1" applyFill="1" applyBorder="1" applyAlignment="1">
      <x:alignment vertical="center"/>
    </x:xf>
    <x:xf numFmtId="201" fontId="14" fillId="5" borderId="21" xfId="0" applyNumberFormat="1" applyFont="1" applyFill="1" applyBorder="1" applyAlignment="1">
      <x:alignment vertical="center"/>
    </x:xf>
    <x:xf numFmtId="0" fontId="14" fillId="5" borderId="16" xfId="0" applyNumberFormat="1" applyFont="1" applyFill="1" applyBorder="1" applyAlignment="1">
      <x:alignment vertical="center"/>
    </x:xf>
    <x:xf numFmtId="201" fontId="14" fillId="5" borderId="16" xfId="0" applyNumberFormat="1" applyFont="1" applyFill="1" applyBorder="1" applyAlignment="1">
      <x:alignment vertical="center"/>
    </x:xf>
    <x:xf numFmtId="0" fontId="14" fillId="5" borderId="0" xfId="0" applyNumberFormat="1" applyFont="1" applyFill="1" applyBorder="1" applyAlignment="1">
      <x:alignment vertical="center"/>
    </x:xf>
    <x:xf numFmtId="201" fontId="14" fillId="5" borderId="0" xfId="0" applyNumberFormat="1" applyFont="1" applyFill="1" applyBorder="1" applyAlignment="1">
      <x:alignment vertical="center"/>
    </x:xf>
    <x:xf numFmtId="0" fontId="14" fillId="5" borderId="17" xfId="0" applyNumberFormat="1" applyFont="1" applyFill="1" applyBorder="1" applyAlignment="1">
      <x:alignment vertical="center"/>
    </x:xf>
    <x:xf numFmtId="201" fontId="14" fillId="5" borderId="17" xfId="0" applyNumberFormat="1" applyFont="1" applyFill="1" applyBorder="1" applyAlignment="1">
      <x:alignment vertical="center"/>
    </x:xf>
    <x:xf numFmtId="0" fontId="0"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0" fontId="16" fillId="5" borderId="16" xfId="0" applyNumberFormat="1" applyFont="1" applyFill="1" applyBorder="1" applyAlignment="1">
      <x:alignment vertical="center"/>
    </x:xf>
    <x:xf numFmtId="201" fontId="16" fillId="5" borderId="16" xfId="0" applyNumberFormat="1" applyFont="1" applyFill="1" applyBorder="1" applyAlignment="1">
      <x:alignment vertical="center"/>
    </x:xf>
    <x:xf numFmtId="0" fontId="16" fillId="5" borderId="0" xfId="0" applyNumberFormat="1" applyFont="1" applyFill="1" applyBorder="1" applyAlignment="1">
      <x:alignment vertical="center"/>
    </x:xf>
    <x:xf numFmtId="201" fontId="16" fillId="5" borderId="0" xfId="0" applyNumberFormat="1" applyFont="1" applyFill="1" applyBorder="1" applyAlignment="1">
      <x:alignment vertical="center"/>
    </x:xf>
    <x:xf numFmtId="0" fontId="16" fillId="5" borderId="17" xfId="0" applyNumberFormat="1" applyFont="1" applyFill="1" applyBorder="1" applyAlignment="1">
      <x:alignment vertical="center"/>
    </x:xf>
    <x:xf numFmtId="201" fontId="16" fillId="5" borderId="17" xfId="0" applyNumberFormat="1" applyFont="1" applyFill="1" applyBorder="1" applyAlignment="1">
      <x:alignment vertical="center"/>
    </x:xf>
    <x:xf numFmtId="202" fontId="7" fillId="0" borderId="0" xfId="0" applyNumberFormat="1" applyFont="1" applyFill="1" applyBorder="1" applyAlignment="1">
      <x:alignment vertical="center"/>
    </x:xf>
    <x:xf numFmtId="203" fontId="7" fillId="0" borderId="0" xfId="0" applyNumberFormat="1" applyFont="1" applyFill="1" applyBorder="1" applyAlignment="1">
      <x:alignment vertical="center"/>
    </x:xf>
    <x:xf numFmtId="0" fontId="12" fillId="0" borderId="0" xfId="0" applyNumberFormat="1" applyFont="1" applyFill="1" applyBorder="1" applyAlignment="1">
      <x:alignment vertical="center" wrapText="1"/>
    </x:xf>
  </x:cellXfs>
  <x:cellStyles count="1">
    <x:cellStyle name="Normal" xfId="0"/>
  </x:cellStyles>
  <x:dxfs count="7">
    <x:dxf>
      <x:font>
        <x:b/>
        <x:color rgb="FF9C2F24"/>
      </x:font>
      <x:fill>
        <x:patternFill patternType="solid">
          <x:bgColor rgb="FFF8D7DA"/>
        </x:patternFill>
      </x:fill>
    </x:dxf>
    <x:dxf>
      <x:font>
        <x:b/>
        <x:color rgb="FF9C2F24"/>
      </x:font>
      <x:fill>
        <x:patternFill patternType="solid">
          <x:bgColor rgb="FFF8D7DA"/>
        </x:patternFill>
      </x:fill>
    </x:dxf>
    <x:dxf>
      <x:font>
        <x:b/>
        <x:color rgb="FF9C2F24"/>
      </x:font>
      <x:fill>
        <x:patternFill patternType="solid">
          <x:bgColor rgb="FFF8D7DA"/>
        </x:patternFill>
      </x:fill>
    </x:dxf>
    <x:dxf>
      <x:font>
        <x:b/>
        <x:color rgb="FF0F5B4D"/>
      </x:font>
      <x:fill>
        <x:patternFill patternType="solid">
          <x:bgColor rgb="FFD4EDDA"/>
        </x:patternFill>
      </x:fill>
    </x:dxf>
    <x:dxf>
      <x:font>
        <x:b/>
        <x:color rgb="FF9C2F24"/>
      </x:font>
      <x:fill>
        <x:patternFill patternType="solid">
          <x:bgColor rgb="FFF8D7DA"/>
        </x:patternFill>
      </x:fill>
    </x:dxf>
    <x:dxf>
      <x:font>
        <x:b/>
        <x:color rgb="FF0F5B4D"/>
      </x:font>
      <x:fill>
        <x:patternFill patternType="solid">
          <x:bgColor rgb="FFD4EDDA"/>
        </x:patternFill>
      </x:fill>
    </x:dxf>
    <x:dxf>
      <x:font>
        <x:b/>
        <x:color rgb="FF9C2F24"/>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96be7204e9424e" /><Relationship Type="http://schemas.openxmlformats.org/officeDocument/2006/relationships/theme" Target="/xl/theme/theme1.xml" Id="R7d0b351c94fc4eda" /><Relationship Type="http://schemas.openxmlformats.org/officeDocument/2006/relationships/sharedStrings" Target="/xl/sharedStrings.xml" Id="R1c534770d74a42e3" /><Relationship Type="http://schemas.openxmlformats.org/officeDocument/2006/relationships/worksheet" Target="/xl/worksheets/sheet1.xml" Id="R98b5cee61f874045" /><Relationship Type="http://schemas.openxmlformats.org/officeDocument/2006/relationships/worksheet" Target="/xl/worksheets/sheet2.xml" Id="R25637aa13ff1427c" /><Relationship Type="http://schemas.openxmlformats.org/officeDocument/2006/relationships/worksheet" Target="/xl/worksheets/sheet3.xml" Id="Rde8b5a53753f42a2" /><Relationship Type="http://schemas.openxmlformats.org/officeDocument/2006/relationships/worksheet" Target="/xl/worksheets/sheet4.xml" Id="R35353e3c63464641" /><Relationship Type="http://schemas.openxmlformats.org/officeDocument/2006/relationships/worksheet" Target="/xl/worksheets/sheet5.xml" Id="R5e630fbca6dd4820" /><Relationship Type="http://schemas.openxmlformats.org/officeDocument/2006/relationships/worksheet" Target="/xl/worksheets/sheet6.xml" Id="R89a0b6c25a45497e" /><Relationship Type="http://schemas.openxmlformats.org/officeDocument/2006/relationships/worksheet" Target="/xl/worksheets/sheet7.xml" Id="Rc60d8414e3c74589" /><Relationship Type="http://schemas.openxmlformats.org/officeDocument/2006/relationships/worksheet" Target="/xl/worksheets/sheet8.xml" Id="Rc5b850fa3d2446b8" /><Relationship Type="http://schemas.openxmlformats.org/officeDocument/2006/relationships/worksheet" Target="/xl/worksheets/sheet9.xml" Id="Re331d8856dae478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12" hidden="0" customWidth="1"/>
    <x:col min="6" max="6" width="46" hidden="0" customWidth="1"/>
    <x:col min="7" max="7" width="16" hidden="0" customWidth="1"/>
    <x:col min="8" max="8" width="22" hidden="0" customWidth="1"/>
  </x:cols>
  <x:sheetData>
    <x:row r="1" ht="30" customHeight="1">
      <x:c r="A1" s="57" t="str">
        <x:v>Consultry KfW 200k - Critical Base Case</x:v>
      </x:c>
      <x:c r="B1" s="34"/>
      <x:c r="C1" s="34"/>
      <x:c r="D1" s="34"/>
      <x:c r="E1" s="34"/>
      <x:c r="F1" s="34"/>
      <x:c r="G1" s="34"/>
      <x:c r="H1" s="34"/>
    </x:row>
    <x:row r="2" ht="22" customHeight="1">
      <x:c r="A2" s="35" t="str">
        <x:v>Four paid customers in Year 1; two token-cost design partners excluded from revenue</x:v>
      </x:c>
      <x:c r="B2" s="35"/>
      <x:c r="C2" s="35"/>
      <x:c r="D2" s="35"/>
      <x:c r="E2" s="35"/>
      <x:c r="F2" s="35"/>
      <x:c r="G2" s="35"/>
      <x:c r="H2" s="35"/>
    </x:row>
    <x:row r="3">
      <x:c r="A3" s="160"/>
      <x:c r="B3" s="160"/>
      <x:c r="C3" s="160"/>
      <x:c r="D3" s="160"/>
      <x:c r="E3" s="160"/>
      <x:c r="F3" s="160"/>
      <x:c r="G3" s="160"/>
      <x:c r="H3" s="160"/>
    </x:row>
    <x:row r="4">
      <x:c r="A4" s="128" t="str">
        <x:v>Key output</x:v>
      </x:c>
      <x:c r="B4" s="129" t="str">
        <x:v>Year 1</x:v>
      </x:c>
      <x:c r="C4" s="129" t="str">
        <x:v>Year 2</x:v>
      </x:c>
      <x:c r="D4" s="129" t="str">
        <x:v>Year 3</x:v>
      </x:c>
      <x:c r="E4" s="129" t="str">
        <x:v>Unit</x:v>
      </x:c>
      <x:c r="F4" s="129" t="str">
        <x:v>Bank interpretation</x:v>
      </x:c>
      <x:c r="G4" s="129" t="str">
        <x:v>Status</x:v>
      </x:c>
      <x:c r="H4" s="130" t="str">
        <x:v>Source</x:v>
      </x:c>
    </x:row>
    <x:row r="5">
      <x:c r="A5" s="160" t="str">
        <x:v>Paying customers at year-end</x:v>
      </x:c>
      <x:c r="B5" s="161" t="n">
        <x:f>'Profitability'!B21</x:f>
        <x:v>4</x:v>
      </x:c>
      <x:c r="C5" s="161" t="n">
        <x:f>'Profitability'!C21</x:f>
        <x:v>12</x:v>
      </x:c>
      <x:c r="D5" s="161" t="n">
        <x:f>'Profitability'!D21</x:f>
        <x:v>24</x:v>
      </x:c>
      <x:c r="E5" s="160" t="str">
        <x:v>count</x:v>
      </x:c>
      <x:c r="F5" s="162" t="str">
        <x:v>Separate from 2 non-revenue design partners</x:v>
      </x:c>
      <x:c r="G5" s="162" t="str">
        <x:v>Plan assumption</x:v>
      </x:c>
      <x:c r="H5" s="162" t="str">
        <x:v>Revenue Cohorts</x:v>
      </x:c>
    </x:row>
    <x:row r="6">
      <x:c r="A6" s="160" t="str">
        <x:v>Net revenue</x:v>
      </x:c>
      <x:c r="B6" s="163" t="n">
        <x:f>'Profitability'!B7</x:f>
        <x:v>56000</x:v>
      </x:c>
      <x:c r="C6" s="163" t="n">
        <x:f>'Profitability'!C7</x:f>
        <x:v>297040</x:v>
      </x:c>
      <x:c r="D6" s="163" t="n">
        <x:f>'Profitability'!D7</x:f>
        <x:v>674115</x:v>
      </x:c>
      <x:c r="E6" s="160" t="str">
        <x:v>EUR</x:v>
      </x:c>
      <x:c r="F6" s="162" t="str">
        <x:v>Bottom-up cohort revenue, not a top-down plug</x:v>
      </x:c>
      <x:c r="G6" s="162" t="str">
        <x:v>Plan assumption</x:v>
      </x:c>
      <x:c r="H6" s="162" t="str">
        <x:v>Revenue Cohorts</x:v>
      </x:c>
    </x:row>
    <x:row r="7">
      <x:c r="A7" s="160" t="str">
        <x:v>End ARR</x:v>
      </x:c>
      <x:c r="B7" s="163" t="n">
        <x:f>'Profitability'!B20</x:f>
        <x:v>108000</x:v>
      </x:c>
      <x:c r="C7" s="163" t="n">
        <x:f>'Profitability'!C20</x:f>
        <x:v>406080</x:v>
      </x:c>
      <x:c r="D7" s="163" t="n">
        <x:f>'Profitability'!D20</x:f>
        <x:v>853200</x:v>
      </x:c>
      <x:c r="E7" s="160" t="str">
        <x:v>EUR</x:v>
      </x:c>
      <x:c r="F7" s="162" t="str">
        <x:v>Year-end recurring run-rate</x:v>
      </x:c>
      <x:c r="G7" s="162" t="str">
        <x:v>Plan assumption</x:v>
      </x:c>
      <x:c r="H7" s="162" t="str">
        <x:v>Revenue Cohorts</x:v>
      </x:c>
    </x:row>
    <x:row r="8">
      <x:c r="A8" s="160" t="str">
        <x:v>EBITDA before depreciation</x:v>
      </x:c>
      <x:c r="B8" s="163" t="n">
        <x:f>'Profitability'!B13</x:f>
        <x:v>13680.000007999995</x:v>
      </x:c>
      <x:c r="C8" s="163" t="n">
        <x:f>'Profitability'!C13</x:f>
        <x:v>7595.200000000012</x:v>
      </x:c>
      <x:c r="D8" s="163" t="n">
        <x:f>'Profitability'!D13</x:f>
        <x:v>144421.19999999995</x:v>
      </x:c>
      <x:c r="E8" s="160" t="str">
        <x:v>EUR</x:v>
      </x:c>
      <x:c r="F8" s="162" t="str">
        <x:v>Positive Year-1 EBITDA relies on unpaid founder work; not normalized</x:v>
      </x:c>
      <x:c r="G8" s="162" t="str">
        <x:v>Calculated</x:v>
      </x:c>
      <x:c r="H8" s="162" t="str">
        <x:v>Personnel &amp; Opex</x:v>
      </x:c>
    </x:row>
    <x:row r="9">
      <x:c r="A9" s="160" t="str">
        <x:v>Ending cash</x:v>
      </x:c>
      <x:c r="B9" s="163" t="n">
        <x:f>'Cash Plan'!B29</x:f>
        <x:v>75640.00000799994</x:v>
      </x:c>
      <x:c r="C9" s="163" t="n">
        <x:f>'Cash Plan'!C29</x:f>
        <x:v>49355.20000799995</x:v>
      </x:c>
      <x:c r="D9" s="163" t="n">
        <x:f>'Cash Plan'!D29</x:f>
        <x:v>122994.3166746666</x:v>
      </x:c>
      <x:c r="E9" s="160" t="str">
        <x:v>EUR</x:v>
      </x:c>
      <x:c r="F9" s="162" t="str">
        <x:v>Must remain above 30k internal target</x:v>
      </x:c>
      <x:c r="G9" s="162" t="str">
        <x:v>Calculated</x:v>
      </x:c>
      <x:c r="H9" s="162" t="str">
        <x:v>Cash Plan</x:v>
      </x:c>
    </x:row>
    <x:row r="10">
      <x:c r="A10" s="160" t="str">
        <x:v>Debt service</x:v>
      </x:c>
      <x:c r="B10" s="163" t="n">
        <x:f>'Investment &amp; Funding'!B26+'Investment &amp; Funding'!B27</x:f>
        <x:v>9040</x:v>
      </x:c>
      <x:c r="C10" s="163" t="n">
        <x:f>'Investment &amp; Funding'!C26+'Investment &amp; Funding'!C27</x:f>
        <x:v>9040</x:v>
      </x:c>
      <x:c r="D10" s="163" t="n">
        <x:f>'Investment &amp; Funding'!D26+'Investment &amp; Funding'!D27</x:f>
        <x:v>33522.08333333333</x:v>
      </x:c>
      <x:c r="E10" s="160" t="str">
        <x:v>EUR</x:v>
      </x:c>
      <x:c r="F10" s="162" t="str">
        <x:v>Principal begins in Year 3</x:v>
      </x:c>
      <x:c r="G10" s="162" t="str">
        <x:v>Calculated</x:v>
      </x:c>
      <x:c r="H10" s="162" t="str">
        <x:v>Debt schedule</x:v>
      </x:c>
    </x:row>
    <x:row r="11">
      <x:c r="A11" s="160" t="str">
        <x:v>EBITDA / debt service</x:v>
      </x:c>
      <x:c r="B11" s="164" t="n">
        <x:f>'Profitability'!B22</x:f>
        <x:v>1.5132743371681412</x:v>
      </x:c>
      <x:c r="C11" s="164" t="n">
        <x:f>'Profitability'!C22</x:f>
        <x:v>0.8401769911504438</x:v>
      </x:c>
      <x:c r="D11" s="164" t="n">
        <x:f>'Profitability'!D22</x:f>
        <x:v>4.308240587672305</x:v>
      </x:c>
      <x:c r="E11" s="160" t="str">
        <x:v>x</x:v>
      </x:c>
      <x:c r="F11" s="162" t="str">
        <x:v>Year 3 is the meaningful service year</x:v>
      </x:c>
      <x:c r="G11" s="162" t="str">
        <x:v>Calculated</x:v>
      </x:c>
      <x:c r="H11" s="162" t="str">
        <x:v>Profitability</x:v>
      </x:c>
    </x:row>
    <x:row r="12">
      <x:c r="A12" s="160" t="str">
        <x:v>Additional equity in base</x:v>
      </x:c>
      <x:c r="B12" s="163" t="n">
        <x:f>'Assumptions'!B6</x:f>
        <x:v>0</x:v>
      </x:c>
      <x:c r="C12" s="163" t="n">
        <x:f>0</x:f>
        <x:v>0</x:v>
      </x:c>
      <x:c r="D12" s="163" t="n">
        <x:f>0</x:f>
        <x:v>0</x:v>
      </x:c>
      <x:c r="E12" s="160" t="str">
        <x:v>EUR</x:v>
      </x:c>
      <x:c r="F12" s="162" t="str">
        <x:v>No additional equity in no-payroll base; statutory capital separate</x:v>
      </x:c>
      <x:c r="G12" s="162" t="str">
        <x:v>Plan assumption</x:v>
      </x:c>
      <x:c r="H12" s="162" t="str">
        <x:v>Scenarios</x:v>
      </x:c>
    </x:row>
    <x:row r="13">
      <x:c r="A13" s="160" t="str">
        <x:v>Qualifying investment</x:v>
      </x:c>
      <x:c r="B13" s="163" t="n">
        <x:f>'Assumptions'!B28</x:f>
        <x:v>120000</x:v>
      </x:c>
      <x:c r="C13" s="163" t="n">
        <x:f>0</x:f>
        <x:v>0</x:v>
      </x:c>
      <x:c r="D13" s="163" t="n">
        <x:f>0</x:f>
        <x:v>0</x:v>
      </x:c>
      <x:c r="E13" s="160" t="str">
        <x:v>EUR</x:v>
      </x:c>
      <x:c r="F13" s="162" t="str">
        <x:v>Required for 200k request with 80k operating cap</x:v>
      </x:c>
      <x:c r="G13" s="162" t="str">
        <x:v>Pre-clear</x:v>
      </x:c>
      <x:c r="H13" s="162" t="str">
        <x:v>KfW / bank</x:v>
      </x:c>
    </x:row>
    <x:row r="14">
      <x:c r="A14" s="160"/>
      <x:c r="B14" s="160"/>
      <x:c r="C14" s="160"/>
      <x:c r="D14" s="160"/>
      <x:c r="E14" s="160"/>
      <x:c r="F14" s="160"/>
      <x:c r="G14" s="160"/>
      <x:c r="H14" s="160"/>
    </x:row>
    <x:row r="15">
      <x:c r="A15" s="160"/>
      <x:c r="B15" s="160"/>
      <x:c r="C15" s="160"/>
      <x:c r="D15" s="160"/>
      <x:c r="E15" s="160"/>
      <x:c r="F15" s="160"/>
      <x:c r="G15" s="160"/>
      <x:c r="H15" s="160"/>
    </x:row>
    <x:row r="16" ht="22" customHeight="1">
      <x:c r="A16" s="37" t="str">
        <x:v>Critical lender conclusions</x:v>
      </x:c>
      <x:c r="B16" s="37"/>
      <x:c r="C16" s="37"/>
      <x:c r="D16" s="37"/>
      <x:c r="E16" s="37"/>
      <x:c r="F16" s="37"/>
      <x:c r="G16" s="37"/>
      <x:c r="H16" s="37"/>
    </x:row>
    <x:row r="17" ht="30" customHeight="1">
      <x:c r="A17" s="165" t="str">
        <x:v>1</x:v>
      </x:c>
      <x:c r="B17" s="166" t="str">
        <x:v>The two existing LOIs validate access and usage only. They are explicitly excluded from revenue and price validation.</x:v>
      </x:c>
      <x:c r="C17" s="166"/>
      <x:c r="D17" s="166"/>
      <x:c r="E17" s="166"/>
      <x:c r="F17" s="166"/>
      <x:c r="G17" s="166"/>
      <x:c r="H17" s="166"/>
    </x:row>
    <x:row r="18" ht="30" customHeight="1">
      <x:c r="A18" s="165" t="str">
        <x:v>2</x:v>
      </x:c>
      <x:c r="B18" s="166" t="str">
        <x:v>Year-1 revenue is 56k recognized and 47k cash receipts: four commercial customers, four 5k Context Activations, and one-month SaaS collection lag.</x:v>
      </x:c>
      <x:c r="C18" s="166"/>
      <x:c r="D18" s="166"/>
      <x:c r="E18" s="166"/>
      <x:c r="F18" s="166"/>
      <x:c r="G18" s="166"/>
      <x:c r="H18" s="166"/>
    </x:row>
    <x:row r="19" ht="30" customHeight="1">
      <x:c r="A19" s="165" t="str">
        <x:v>3</x:v>
      </x:c>
      <x:c r="B19" s="166" t="str">
        <x:v>Year-1 committed founder payroll is zero. The founders contribute work without a fixed salary until separate funding; private livelihood and the absence of deferred salary claims must be documented.</x:v>
      </x:c>
      <x:c r="C19" s="166"/>
      <x:c r="D19" s="166"/>
      <x:c r="E19" s="166"/>
      <x:c r="F19" s="166"/>
      <x:c r="G19" s="166"/>
      <x:c r="H19" s="166"/>
    </x:row>
    <x:row r="20" ht="30" customHeight="1">
      <x:c r="A20" s="165" t="str">
        <x:v>4</x:v>
      </x:c>
      <x:c r="B20" s="166" t="str">
        <x:v>The optional personnel envelope is capped at 80k and is not part of the funded base. Full release needs at least about 69k matched additional liquidity to preserve the 30k full-horizon reserve.</x:v>
      </x:c>
      <x:c r="C20" s="166"/>
      <x:c r="D20" s="166"/>
      <x:c r="E20" s="166"/>
      <x:c r="F20" s="166"/>
      <x:c r="G20" s="166"/>
      <x:c r="H20" s="166"/>
    </x:row>
  </x:sheetData>
  <x:mergeCells>
    <x:mergeCell ref="A1:H1"/>
    <x:mergeCell ref="A2:H2"/>
    <x:mergeCell ref="A16:H16"/>
    <x:mergeCell ref="B17:H17"/>
    <x:mergeCell ref="B18:H18"/>
    <x:mergeCell ref="B19:H19"/>
    <x:mergeCell ref="B20:H20"/>
  </x:mergeCells>
  <x:conditionalFormatting sqref="G5:G13">
    <x:cfRule type="containsText" dxfId="2" priority="1" operator="containsText" text="Critical"/>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9" hidden="0" customWidth="1"/>
    <x:col min="2" max="2" width="18" hidden="0" customWidth="1"/>
    <x:col min="3" max="3" width="17" hidden="0" customWidth="1"/>
    <x:col min="4" max="4" width="64" hidden="0" customWidth="1"/>
  </x:cols>
  <x:sheetData>
    <x:row r="1" ht="30" customHeight="1">
      <x:c r="A1" s="57" t="str">
        <x:v>Consultry KfW Financial Model</x:v>
      </x:c>
      <x:c r="B1" s="34"/>
      <x:c r="C1" s="34"/>
      <x:c r="D1" s="34"/>
      <x:c r="E1" s="3"/>
      <x:c r="F1" s="3"/>
      <x:c r="G1" s="3"/>
      <x:c r="H1" s="3"/>
    </x:row>
    <x:row r="2" ht="22" customHeight="1">
      <x:c r="A2" s="35" t="str">
        <x:v>Bottom-up base case | EUR, net | Version 12.07.2026</x:v>
      </x:c>
      <x:c r="B2" s="35"/>
      <x:c r="C2" s="35"/>
      <x:c r="D2" s="35"/>
      <x:c r="E2" s="6"/>
      <x:c r="F2" s="6"/>
      <x:c r="G2" s="6"/>
      <x:c r="H2" s="6"/>
    </x:row>
    <x:row r="3">
      <x:c r="A3" s="36"/>
      <x:c r="B3" s="36"/>
      <x:c r="C3" s="36"/>
      <x:c r="D3" s="36"/>
    </x:row>
    <x:row r="4" ht="22" customHeight="1">
      <x:c r="A4" s="37" t="str">
        <x:v>Funding and debt</x:v>
      </x:c>
      <x:c r="B4" s="37"/>
      <x:c r="C4" s="37"/>
      <x:c r="D4" s="37"/>
    </x:row>
    <x:row r="5">
      <x:c r="A5" s="38" t="str">
        <x:v>KfW StartGeld draw</x:v>
      </x:c>
      <x:c r="B5" s="39" t="n">
        <x:v>200000</x:v>
      </x:c>
      <x:c r="C5" s="40" t="str">
        <x:v>EUR</x:v>
      </x:c>
      <x:c r="D5" s="58" t="str">
        <x:v>Program cap; 120k investment / max. 80k operating cash</x:v>
      </x:c>
    </x:row>
    <x:row r="6">
      <x:c r="A6" s="42" t="str">
        <x:v>Additional founder equity / capital reserve</x:v>
      </x:c>
      <x:c r="B6" s="43" t="n">
        <x:v>0</x:v>
      </x:c>
      <x:c r="C6" s="44" t="str">
        <x:v>EUR</x:v>
      </x:c>
      <x:c r="D6" s="59" t="str">
        <x:v>No additional equity assumed in the no-payroll base; existing statutory capital is separate</x:v>
      </x:c>
    </x:row>
    <x:row r="7">
      <x:c r="A7" s="42" t="str">
        <x:v>Nominal annual interest</x:v>
      </x:c>
      <x:c r="B7" s="46" t="n">
        <x:v>0.0452</x:v>
      </x:c>
      <x:c r="C7" s="44" t="str">
        <x:v>%</x:v>
      </x:c>
      <x:c r="D7" s="59" t="str">
        <x:v>KfW conditions as of 10.07.2026; final rate at approval</x:v>
      </x:c>
    </x:row>
    <x:row r="8">
      <x:c r="A8" s="42" t="str">
        <x:v>Loan term</x:v>
      </x:c>
      <x:c r="B8" s="47" t="n">
        <x:v>120</x:v>
      </x:c>
      <x:c r="C8" s="44" t="str">
        <x:v>months</x:v>
      </x:c>
      <x:c r="D8" s="59" t="str">
        <x:v>10 years</x:v>
      </x:c>
    </x:row>
    <x:row r="9">
      <x:c r="A9" s="42" t="str">
        <x:v>Interest-only period</x:v>
      </x:c>
      <x:c r="B9" s="47" t="n">
        <x:v>24</x:v>
      </x:c>
      <x:c r="C9" s="44" t="str">
        <x:v>months</x:v>
      </x:c>
      <x:c r="D9" s="59" t="str">
        <x:v>2 years</x:v>
      </x:c>
    </x:row>
    <x:row r="10">
      <x:c r="A10" s="42" t="str">
        <x:v>Monthly principal after grace</x:v>
      </x:c>
      <x:c r="B10" s="48" t="n">
        <x:f>B5/(B8-B9)</x:f>
        <x:v>2083.3333333333335</x:v>
      </x:c>
      <x:c r="C10" s="44" t="str">
        <x:v>EUR</x:v>
      </x:c>
      <x:c r="D10" s="59" t="str">
        <x:v>Straight-line principal per KfW repayment description</x:v>
      </x:c>
    </x:row>
    <x:row r="11">
      <x:c r="A11" s="42" t="str">
        <x:v>Minimum internal cash reserve</x:v>
      </x:c>
      <x:c r="B11" s="43" t="n">
        <x:v>30000</x:v>
      </x:c>
      <x:c r="C11" s="44" t="str">
        <x:v>EUR</x:v>
      </x:c>
      <x:c r="D11" s="59" t="str">
        <x:v>Management liquidity floor; not a KfW rule</x:v>
      </x:c>
    </x:row>
    <x:row r="12">
      <x:c r="A12" s="42"/>
      <x:c r="B12" s="44"/>
      <x:c r="C12" s="44"/>
      <x:c r="D12" s="59"/>
    </x:row>
    <x:row r="13" ht="22" customHeight="1">
      <x:c r="A13" s="49" t="str">
        <x:v>Commercial model</x:v>
      </x:c>
      <x:c r="B13" s="50"/>
      <x:c r="C13" s="50"/>
      <x:c r="D13" s="60"/>
    </x:row>
    <x:row r="14">
      <x:c r="A14" s="42" t="str">
        <x:v>Existing design partners</x:v>
      </x:c>
      <x:c r="B14" s="47" t="n">
        <x:v>2</x:v>
      </x:c>
      <x:c r="C14" s="44" t="str">
        <x:v>count</x:v>
      </x:c>
      <x:c r="D14" s="59" t="str">
        <x:v>H&amp;W Digital Solutions UG and Krallmann AG</x:v>
      </x:c>
    </x:row>
    <x:row r="15">
      <x:c r="A15" s="42" t="str">
        <x:v>Design-partner license / activation revenue</x:v>
      </x:c>
      <x:c r="B15" s="43" t="n">
        <x:v>0</x:v>
      </x:c>
      <x:c r="C15" s="44" t="str">
        <x:v>EUR</x:v>
      </x:c>
      <x:c r="D15" s="59" t="str">
        <x:v>API-token cost pass-through only; excluded from revenue</x:v>
      </x:c>
    </x:row>
    <x:row r="16">
      <x:c r="A16" s="42" t="str">
        <x:v>Average paid seats per commercial customer</x:v>
      </x:c>
      <x:c r="B16" s="52" t="n">
        <x:v>45</x:v>
      </x:c>
      <x:c r="C16" s="44" t="str">
        <x:v>seats</x:v>
      </x:c>
      <x:c r="D16" s="59" t="str">
        <x:v>Midpoint-style planning assumption within 15-80 employee ICP</x:v>
      </x:c>
    </x:row>
    <x:row r="17">
      <x:c r="A17" s="42" t="str">
        <x:v>Founding-customer seat price</x:v>
      </x:c>
      <x:c r="B17" s="43" t="n">
        <x:v>50</x:v>
      </x:c>
      <x:c r="C17" s="44" t="str">
        <x:v>EUR/seat/month</x:v>
      </x:c>
      <x:c r="D17" s="59" t="str">
        <x:v>Locked GTM pilot land price</x:v>
      </x:c>
    </x:row>
    <x:row r="18">
      <x:c r="A18" s="42" t="str">
        <x:v>Post-PMF seat price</x:v>
      </x:c>
      <x:c r="B18" s="43" t="n">
        <x:v>69</x:v>
      </x:c>
      <x:c r="C18" s="44" t="str">
        <x:v>EUR/seat/month</x:v>
      </x:c>
      <x:c r="D18" s="59" t="str">
        <x:v>Only new commercial cohorts from year 2</x:v>
      </x:c>
    </x:row>
    <x:row r="19">
      <x:c r="A19" s="42" t="str">
        <x:v>Context Activation fixed price</x:v>
      </x:c>
      <x:c r="B19" s="43" t="n">
        <x:v>5000</x:v>
      </x:c>
      <x:c r="C19" s="44" t="str">
        <x:v>EUR/customer</x:v>
      </x:c>
      <x:c r="D19" s="59" t="str">
        <x:v>Separate scoped implementation package</x:v>
      </x:c>
    </x:row>
    <x:row r="20">
      <x:c r="A20" s="42" t="str">
        <x:v>Recurring-revenue direct COGS</x:v>
      </x:c>
      <x:c r="B20" s="46" t="n">
        <x:v>0.12</x:v>
      </x:c>
      <x:c r="C20" s="44" t="str">
        <x:v>% of SaaS</x:v>
      </x:c>
      <x:c r="D20" s="59" t="str">
        <x:v>Model/provider usage plus variable service cost; validate after pilots</x:v>
      </x:c>
    </x:row>
    <x:row r="21">
      <x:c r="A21" s="42" t="str">
        <x:v>SaaS cash collection lag</x:v>
      </x:c>
      <x:c r="B21" s="47" t="n">
        <x:v>1</x:v>
      </x:c>
      <x:c r="C21" s="44" t="str">
        <x:v>months</x:v>
      </x:c>
      <x:c r="D21" s="59" t="str">
        <x:v>Conservative one-month collection lag</x:v>
      </x:c>
    </x:row>
    <x:row r="22">
      <x:c r="A22" s="42" t="str">
        <x:v>Employer on-cost factor</x:v>
      </x:c>
      <x:c r="B22" s="46" t="n">
        <x:v>0.2</x:v>
      </x:c>
      <x:c r="C22" s="44" t="str">
        <x:v>% of gross</x:v>
      </x:c>
      <x:c r="D22" s="59" t="str">
        <x:v>Validate with payroll provider</x:v>
      </x:c>
    </x:row>
    <x:row r="23">
      <x:c r="A23" s="42" t="str">
        <x:v>Model horizon</x:v>
      </x:c>
      <x:c r="B23" s="47" t="n">
        <x:v>36</x:v>
      </x:c>
      <x:c r="C23" s="44" t="str">
        <x:v>months</x:v>
      </x:c>
      <x:c r="D23" s="59" t="str">
        <x:v>Three-year operating plan</x:v>
      </x:c>
    </x:row>
    <x:row r="24">
      <x:c r="A24" s="42"/>
      <x:c r="B24" s="44"/>
      <x:c r="C24" s="44"/>
      <x:c r="D24" s="59"/>
    </x:row>
    <x:row r="25" ht="22" customHeight="1">
      <x:c r="A25" s="49" t="str">
        <x:v>Investment classification</x:v>
      </x:c>
      <x:c r="B25" s="50"/>
      <x:c r="C25" s="50"/>
      <x:c r="D25" s="60"/>
    </x:row>
    <x:row r="26">
      <x:c r="A26" s="42" t="str">
        <x:v>External custom software / IP package</x:v>
      </x:c>
      <x:c r="B26" s="43" t="n">
        <x:v>110000</x:v>
      </x:c>
      <x:c r="C26" s="44" t="str">
        <x:v>EUR</x:v>
      </x:c>
      <x:c r="D26" s="59" t="str">
        <x:v>Capitalization and KfW investment treatment must be pre-cleared</x:v>
      </x:c>
    </x:row>
    <x:row r="27">
      <x:c r="A27" s="42" t="str">
        <x:v>Development, test and security hardware</x:v>
      </x:c>
      <x:c r="B27" s="43" t="n">
        <x:v>10000</x:v>
      </x:c>
      <x:c r="C27" s="44" t="str">
        <x:v>EUR</x:v>
      </x:c>
      <x:c r="D27" s="59" t="str">
        <x:v>Quotes and inventory list required</x:v>
      </x:c>
    </x:row>
    <x:row r="28">
      <x:c r="A28" s="53" t="str">
        <x:v>Total qualifying investment target</x:v>
      </x:c>
      <x:c r="B28" s="54" t="n">
        <x:f>SUM(B26:B27)</x:f>
        <x:v>120000</x:v>
      </x:c>
      <x:c r="C28" s="55" t="str">
        <x:v>EUR</x:v>
      </x:c>
      <x:c r="D28" s="56" t="str">
        <x:v>Must reach 120k for a 200k request with 80k operating cap</x:v>
      </x:c>
    </x:row>
  </x:sheetData>
  <x:mergeCells>
    <x:mergeCell ref="A1:H1"/>
    <x:mergeCell ref="A2:H2"/>
    <x:mergeCell ref="A4:D4"/>
    <x:mergeCell ref="A13:D13"/>
    <x:mergeCell ref="A25:D2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9" hidden="0" customWidth="1"/>
    <x:col min="2" max="2" width="16" hidden="0" customWidth="1"/>
    <x:col min="3" max="3" width="12" hidden="0" customWidth="1"/>
    <x:col min="4" max="4" width="12" hidden="0" customWidth="1"/>
    <x:col min="5" max="5" width="12" hidden="0" customWidth="1"/>
    <x:col min="6" max="6" width="12" hidden="0" customWidth="1"/>
    <x:col min="7" max="7" width="38"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1" hidden="0" customWidth="1"/>
    <x:col min="31" max="31" width="11" hidden="0" customWidth="1"/>
    <x:col min="32" max="32" width="11" hidden="0" customWidth="1"/>
    <x:col min="33" max="33" width="11" hidden="0" customWidth="1"/>
    <x:col min="34" max="34" width="11" hidden="0" customWidth="1"/>
    <x:col min="35" max="35" width="11" hidden="0" customWidth="1"/>
    <x:col min="36" max="36" width="11" hidden="0" customWidth="1"/>
    <x:col min="37" max="37" width="11" hidden="0" customWidth="1"/>
    <x:col min="38" max="38" width="11" hidden="0" customWidth="1"/>
    <x:col min="39" max="39" width="11" hidden="0" customWidth="1"/>
    <x:col min="40" max="40" width="11" hidden="0" customWidth="1"/>
    <x:col min="41" max="41" width="11" hidden="0" customWidth="1"/>
    <x:col min="42" max="42" width="11" hidden="0" customWidth="1"/>
    <x:col min="43" max="43" width="11" hidden="0" customWidth="1"/>
  </x:cols>
  <x:sheetData>
    <x:row r="1" ht="30" customHeight="1">
      <x:c r="A1" s="57" t="str">
        <x:v>Revenue Cohorts</x:v>
      </x:c>
      <x:c r="B1" s="97"/>
      <x:c r="C1" s="97"/>
      <x:c r="D1" s="97"/>
      <x:c r="E1" s="97"/>
      <x:c r="F1" s="97"/>
      <x:c r="G1" s="97"/>
      <x:c r="H1" s="97"/>
      <x:c r="I1" s="98"/>
      <x:c r="J1" s="98"/>
      <x:c r="K1" s="98"/>
      <x:c r="L1" s="98"/>
      <x:c r="M1" s="98"/>
      <x:c r="N1" s="98"/>
      <x:c r="O1" s="98"/>
      <x:c r="P1" s="98"/>
      <x:c r="Q1" s="98"/>
      <x:c r="R1" s="98"/>
      <x:c r="S1" s="98"/>
      <x:c r="T1" s="98"/>
      <x:c r="U1" s="98"/>
      <x:c r="V1" s="98"/>
      <x:c r="W1" s="98"/>
      <x:c r="X1" s="98"/>
      <x:c r="Y1" s="98"/>
      <x:c r="Z1" s="98"/>
      <x:c r="AA1" s="98"/>
      <x:c r="AB1" s="98"/>
      <x:c r="AC1" s="98"/>
      <x:c r="AD1" s="98"/>
      <x:c r="AE1" s="98"/>
      <x:c r="AF1" s="98"/>
      <x:c r="AG1" s="98"/>
      <x:c r="AH1" s="98"/>
      <x:c r="AI1" s="98"/>
      <x:c r="AJ1" s="98"/>
      <x:c r="AK1" s="98"/>
      <x:c r="AL1" s="98"/>
      <x:c r="AM1" s="98"/>
      <x:c r="AN1" s="98"/>
      <x:c r="AO1" s="98"/>
      <x:c r="AP1" s="98"/>
      <x:c r="AQ1" s="98"/>
    </x:row>
    <x:row r="2" ht="22" customHeight="1">
      <x:c r="A2" s="99" t="str">
        <x:v>Design partners excluded from revenue; commercial cohorts drive seats and Context Activation</x:v>
      </x:c>
      <x:c r="B2" s="99"/>
      <x:c r="C2" s="99"/>
      <x:c r="D2" s="99"/>
      <x:c r="E2" s="99"/>
      <x:c r="F2" s="99"/>
      <x:c r="G2" s="99"/>
      <x:c r="H2" s="99"/>
      <x:c r="I2" s="98"/>
      <x:c r="J2" s="98"/>
      <x:c r="K2" s="98"/>
      <x:c r="L2" s="98"/>
      <x:c r="M2" s="98"/>
      <x:c r="N2" s="98"/>
      <x:c r="O2" s="98"/>
      <x:c r="P2" s="98"/>
      <x:c r="Q2" s="98"/>
      <x:c r="R2" s="98"/>
      <x:c r="S2" s="98"/>
      <x:c r="T2" s="98"/>
      <x:c r="U2" s="98"/>
      <x:c r="V2" s="98"/>
      <x:c r="W2" s="98"/>
      <x:c r="X2" s="98"/>
      <x:c r="Y2" s="98"/>
      <x:c r="Z2" s="98"/>
      <x:c r="AA2" s="98"/>
      <x:c r="AB2" s="98"/>
      <x:c r="AC2" s="98"/>
      <x:c r="AD2" s="98"/>
      <x:c r="AE2" s="98"/>
      <x:c r="AF2" s="98"/>
      <x:c r="AG2" s="98"/>
      <x:c r="AH2" s="98"/>
      <x:c r="AI2" s="98"/>
      <x:c r="AJ2" s="98"/>
      <x:c r="AK2" s="98"/>
      <x:c r="AL2" s="98"/>
      <x:c r="AM2" s="98"/>
      <x:c r="AN2" s="98"/>
      <x:c r="AO2" s="98"/>
      <x:c r="AP2" s="98"/>
      <x:c r="AQ2" s="98"/>
    </x:row>
    <x:row r="3">
      <x:c r="A3" s="98"/>
      <x:c r="B3" s="98"/>
      <x:c r="C3" s="98"/>
      <x:c r="D3" s="98"/>
      <x:c r="E3" s="98"/>
      <x:c r="F3" s="98"/>
      <x:c r="G3" s="98"/>
      <x:c r="H3" s="98"/>
      <x:c r="I3" s="98"/>
      <x:c r="J3" s="98"/>
      <x:c r="K3" s="98"/>
      <x:c r="L3" s="98"/>
      <x:c r="M3" s="98"/>
      <x:c r="N3" s="98"/>
      <x:c r="O3" s="98"/>
      <x:c r="P3" s="98"/>
      <x:c r="Q3" s="98"/>
      <x:c r="R3" s="98"/>
      <x:c r="S3" s="98"/>
      <x:c r="T3" s="98"/>
      <x:c r="U3" s="98"/>
      <x:c r="V3" s="98"/>
      <x:c r="W3" s="98"/>
      <x:c r="X3" s="98"/>
      <x:c r="Y3" s="98"/>
      <x:c r="Z3" s="98"/>
      <x:c r="AA3" s="98"/>
      <x:c r="AB3" s="98"/>
      <x:c r="AC3" s="98"/>
      <x:c r="AD3" s="98"/>
      <x:c r="AE3" s="98"/>
      <x:c r="AF3" s="98"/>
      <x:c r="AG3" s="98"/>
      <x:c r="AH3" s="98"/>
      <x:c r="AI3" s="98"/>
      <x:c r="AJ3" s="98"/>
      <x:c r="AK3" s="98"/>
      <x:c r="AL3" s="98"/>
      <x:c r="AM3" s="98"/>
      <x:c r="AN3" s="98"/>
      <x:c r="AO3" s="98"/>
      <x:c r="AP3" s="98"/>
      <x:c r="AQ3" s="98"/>
    </x:row>
    <x:row r="4">
      <x:c r="A4" s="100" t="str">
        <x:v>Cohort</x:v>
      </x:c>
      <x:c r="B4" s="101" t="str">
        <x:v>Type</x:v>
      </x:c>
      <x:c r="C4" s="101" t="str">
        <x:v>Start month</x:v>
      </x:c>
      <x:c r="D4" s="101" t="str">
        <x:v>Seats</x:v>
      </x:c>
      <x:c r="E4" s="101" t="str">
        <x:v>Seat price</x:v>
      </x:c>
      <x:c r="F4" s="101" t="str">
        <x:v>Activation</x:v>
      </x:c>
      <x:c r="G4" s="101" t="str">
        <x:v>Commercial note</x:v>
      </x:c>
      <x:c r="H4" s="101" t="str">
        <x:v>M1</x:v>
      </x:c>
      <x:c r="I4" s="101" t="str">
        <x:v>M2</x:v>
      </x:c>
      <x:c r="J4" s="101" t="str">
        <x:v>M3</x:v>
      </x:c>
      <x:c r="K4" s="101" t="str">
        <x:v>M4</x:v>
      </x:c>
      <x:c r="L4" s="101" t="str">
        <x:v>M5</x:v>
      </x:c>
      <x:c r="M4" s="101" t="str">
        <x:v>M6</x:v>
      </x:c>
      <x:c r="N4" s="101" t="str">
        <x:v>M7</x:v>
      </x:c>
      <x:c r="O4" s="101" t="str">
        <x:v>M8</x:v>
      </x:c>
      <x:c r="P4" s="101" t="str">
        <x:v>M9</x:v>
      </x:c>
      <x:c r="Q4" s="101" t="str">
        <x:v>M10</x:v>
      </x:c>
      <x:c r="R4" s="101" t="str">
        <x:v>M11</x:v>
      </x:c>
      <x:c r="S4" s="101" t="str">
        <x:v>M12</x:v>
      </x:c>
      <x:c r="T4" s="101" t="str">
        <x:v>M13</x:v>
      </x:c>
      <x:c r="U4" s="101" t="str">
        <x:v>M14</x:v>
      </x:c>
      <x:c r="V4" s="101" t="str">
        <x:v>M15</x:v>
      </x:c>
      <x:c r="W4" s="101" t="str">
        <x:v>M16</x:v>
      </x:c>
      <x:c r="X4" s="101" t="str">
        <x:v>M17</x:v>
      </x:c>
      <x:c r="Y4" s="101" t="str">
        <x:v>M18</x:v>
      </x:c>
      <x:c r="Z4" s="101" t="str">
        <x:v>M19</x:v>
      </x:c>
      <x:c r="AA4" s="101" t="str">
        <x:v>M20</x:v>
      </x:c>
      <x:c r="AB4" s="101" t="str">
        <x:v>M21</x:v>
      </x:c>
      <x:c r="AC4" s="101" t="str">
        <x:v>M22</x:v>
      </x:c>
      <x:c r="AD4" s="101" t="str">
        <x:v>M23</x:v>
      </x:c>
      <x:c r="AE4" s="101" t="str">
        <x:v>M24</x:v>
      </x:c>
      <x:c r="AF4" s="101" t="str">
        <x:v>M25</x:v>
      </x:c>
      <x:c r="AG4" s="101" t="str">
        <x:v>M26</x:v>
      </x:c>
      <x:c r="AH4" s="101" t="str">
        <x:v>M27</x:v>
      </x:c>
      <x:c r="AI4" s="101" t="str">
        <x:v>M28</x:v>
      </x:c>
      <x:c r="AJ4" s="101" t="str">
        <x:v>M29</x:v>
      </x:c>
      <x:c r="AK4" s="101" t="str">
        <x:v>M30</x:v>
      </x:c>
      <x:c r="AL4" s="101" t="str">
        <x:v>M31</x:v>
      </x:c>
      <x:c r="AM4" s="101" t="str">
        <x:v>M32</x:v>
      </x:c>
      <x:c r="AN4" s="101" t="str">
        <x:v>M33</x:v>
      </x:c>
      <x:c r="AO4" s="101" t="str">
        <x:v>M34</x:v>
      </x:c>
      <x:c r="AP4" s="101" t="str">
        <x:v>M35</x:v>
      </x:c>
      <x:c r="AQ4" s="102" t="str">
        <x:v>M36</x:v>
      </x:c>
    </x:row>
    <x:row r="5">
      <x:c r="A5" s="103" t="str"/>
      <x:c r="B5" s="104" t="str"/>
      <x:c r="C5" s="104" t="str"/>
      <x:c r="D5" s="104" t="str"/>
      <x:c r="E5" s="104" t="str"/>
      <x:c r="F5" s="104" t="str"/>
      <x:c r="G5" s="104" t="str"/>
      <x:c r="H5" s="104" t="n">
        <x:v>1</x:v>
      </x:c>
      <x:c r="I5" s="104" t="n">
        <x:v>2</x:v>
      </x:c>
      <x:c r="J5" s="104" t="n">
        <x:v>3</x:v>
      </x:c>
      <x:c r="K5" s="104" t="n">
        <x:v>4</x:v>
      </x:c>
      <x:c r="L5" s="104" t="n">
        <x:v>5</x:v>
      </x:c>
      <x:c r="M5" s="104" t="n">
        <x:v>6</x:v>
      </x:c>
      <x:c r="N5" s="104" t="n">
        <x:v>7</x:v>
      </x:c>
      <x:c r="O5" s="104" t="n">
        <x:v>8</x:v>
      </x:c>
      <x:c r="P5" s="104" t="n">
        <x:v>9</x:v>
      </x:c>
      <x:c r="Q5" s="104" t="n">
        <x:v>10</x:v>
      </x:c>
      <x:c r="R5" s="104" t="n">
        <x:v>11</x:v>
      </x:c>
      <x:c r="S5" s="104" t="n">
        <x:v>12</x:v>
      </x:c>
      <x:c r="T5" s="104" t="n">
        <x:v>13</x:v>
      </x:c>
      <x:c r="U5" s="104" t="n">
        <x:v>14</x:v>
      </x:c>
      <x:c r="V5" s="104" t="n">
        <x:v>15</x:v>
      </x:c>
      <x:c r="W5" s="104" t="n">
        <x:v>16</x:v>
      </x:c>
      <x:c r="X5" s="104" t="n">
        <x:v>17</x:v>
      </x:c>
      <x:c r="Y5" s="104" t="n">
        <x:v>18</x:v>
      </x:c>
      <x:c r="Z5" s="104" t="n">
        <x:v>19</x:v>
      </x:c>
      <x:c r="AA5" s="104" t="n">
        <x:v>20</x:v>
      </x:c>
      <x:c r="AB5" s="104" t="n">
        <x:v>21</x:v>
      </x:c>
      <x:c r="AC5" s="104" t="n">
        <x:v>22</x:v>
      </x:c>
      <x:c r="AD5" s="104" t="n">
        <x:v>23</x:v>
      </x:c>
      <x:c r="AE5" s="104" t="n">
        <x:v>24</x:v>
      </x:c>
      <x:c r="AF5" s="104" t="n">
        <x:v>25</x:v>
      </x:c>
      <x:c r="AG5" s="104" t="n">
        <x:v>26</x:v>
      </x:c>
      <x:c r="AH5" s="104" t="n">
        <x:v>27</x:v>
      </x:c>
      <x:c r="AI5" s="104" t="n">
        <x:v>28</x:v>
      </x:c>
      <x:c r="AJ5" s="104" t="n">
        <x:v>29</x:v>
      </x:c>
      <x:c r="AK5" s="104" t="n">
        <x:v>30</x:v>
      </x:c>
      <x:c r="AL5" s="104" t="n">
        <x:v>31</x:v>
      </x:c>
      <x:c r="AM5" s="104" t="n">
        <x:v>32</x:v>
      </x:c>
      <x:c r="AN5" s="104" t="n">
        <x:v>33</x:v>
      </x:c>
      <x:c r="AO5" s="104" t="n">
        <x:v>34</x:v>
      </x:c>
      <x:c r="AP5" s="104" t="n">
        <x:v>35</x:v>
      </x:c>
      <x:c r="AQ5" s="105" t="n">
        <x:v>36</x:v>
      </x:c>
    </x:row>
    <x:row r="6">
      <x:c r="A6" s="98" t="str">
        <x:v>DP-01 H&amp;W Digital Solutions UG</x:v>
      </x:c>
      <x:c r="B6" s="98" t="str">
        <x:v>Design partner</x:v>
      </x:c>
      <x:c r="C6" s="106" t="n">
        <x:v>3</x:v>
      </x:c>
      <x:c r="D6" s="106" t="n">
        <x:v>0</x:v>
      </x:c>
      <x:c r="E6" s="107" t="n">
        <x:v>0</x:v>
      </x:c>
      <x:c r="F6" s="107" t="n">
        <x:v>0</x:v>
      </x:c>
      <x:c r="G6" s="98" t="str">
        <x:v>API-token cost pass-through; no revenue</x:v>
      </x:c>
      <x:c r="H6" s="108" t="n">
        <x:f>IF(H$5=$C6,$F6,0)+IF(AND(H$5&gt;=$C6,$B6="Commercial"),$D6*$E6,0)</x:f>
        <x:v>0</x:v>
      </x:c>
      <x:c r="I6" s="108" t="n">
        <x:f>IF(I$5=$C6,$F6,0)+IF(AND(I$5&gt;=$C6,$B6="Commercial"),$D6*$E6,0)</x:f>
        <x:v>0</x:v>
      </x:c>
      <x:c r="J6" s="108" t="n">
        <x:f>IF(J$5=$C6,$F6,0)+IF(AND(J$5&gt;=$C6,$B6="Commercial"),$D6*$E6,0)</x:f>
        <x:v>0</x:v>
      </x:c>
      <x:c r="K6" s="108" t="n">
        <x:f>IF(K$5=$C6,$F6,0)+IF(AND(K$5&gt;=$C6,$B6="Commercial"),$D6*$E6,0)</x:f>
        <x:v>0</x:v>
      </x:c>
      <x:c r="L6" s="108" t="n">
        <x:f>IF(L$5=$C6,$F6,0)+IF(AND(L$5&gt;=$C6,$B6="Commercial"),$D6*$E6,0)</x:f>
        <x:v>0</x:v>
      </x:c>
      <x:c r="M6" s="108" t="n">
        <x:f>IF(M$5=$C6,$F6,0)+IF(AND(M$5&gt;=$C6,$B6="Commercial"),$D6*$E6,0)</x:f>
        <x:v>0</x:v>
      </x:c>
      <x:c r="N6" s="108" t="n">
        <x:f>IF(N$5=$C6,$F6,0)+IF(AND(N$5&gt;=$C6,$B6="Commercial"),$D6*$E6,0)</x:f>
        <x:v>0</x:v>
      </x:c>
      <x:c r="O6" s="108" t="n">
        <x:f>IF(O$5=$C6,$F6,0)+IF(AND(O$5&gt;=$C6,$B6="Commercial"),$D6*$E6,0)</x:f>
        <x:v>0</x:v>
      </x:c>
      <x:c r="P6" s="108" t="n">
        <x:f>IF(P$5=$C6,$F6,0)+IF(AND(P$5&gt;=$C6,$B6="Commercial"),$D6*$E6,0)</x:f>
        <x:v>0</x:v>
      </x:c>
      <x:c r="Q6" s="108" t="n">
        <x:f>IF(Q$5=$C6,$F6,0)+IF(AND(Q$5&gt;=$C6,$B6="Commercial"),$D6*$E6,0)</x:f>
        <x:v>0</x:v>
      </x:c>
      <x:c r="R6" s="108" t="n">
        <x:f>IF(R$5=$C6,$F6,0)+IF(AND(R$5&gt;=$C6,$B6="Commercial"),$D6*$E6,0)</x:f>
        <x:v>0</x:v>
      </x:c>
      <x:c r="S6" s="108" t="n">
        <x:f>IF(S$5=$C6,$F6,0)+IF(AND(S$5&gt;=$C6,$B6="Commercial"),$D6*$E6,0)</x:f>
        <x:v>0</x:v>
      </x:c>
      <x:c r="T6" s="108" t="n">
        <x:f>IF(T$5=$C6,$F6,0)+IF(AND(T$5&gt;=$C6,$B6="Commercial"),$D6*$E6,0)</x:f>
        <x:v>0</x:v>
      </x:c>
      <x:c r="U6" s="108" t="n">
        <x:f>IF(U$5=$C6,$F6,0)+IF(AND(U$5&gt;=$C6,$B6="Commercial"),$D6*$E6,0)</x:f>
        <x:v>0</x:v>
      </x:c>
      <x:c r="V6" s="108" t="n">
        <x:f>IF(V$5=$C6,$F6,0)+IF(AND(V$5&gt;=$C6,$B6="Commercial"),$D6*$E6,0)</x:f>
        <x:v>0</x:v>
      </x:c>
      <x:c r="W6" s="108" t="n">
        <x:f>IF(W$5=$C6,$F6,0)+IF(AND(W$5&gt;=$C6,$B6="Commercial"),$D6*$E6,0)</x:f>
        <x:v>0</x:v>
      </x:c>
      <x:c r="X6" s="108" t="n">
        <x:f>IF(X$5=$C6,$F6,0)+IF(AND(X$5&gt;=$C6,$B6="Commercial"),$D6*$E6,0)</x:f>
        <x:v>0</x:v>
      </x:c>
      <x:c r="Y6" s="108" t="n">
        <x:f>IF(Y$5=$C6,$F6,0)+IF(AND(Y$5&gt;=$C6,$B6="Commercial"),$D6*$E6,0)</x:f>
        <x:v>0</x:v>
      </x:c>
      <x:c r="Z6" s="108" t="n">
        <x:f>IF(Z$5=$C6,$F6,0)+IF(AND(Z$5&gt;=$C6,$B6="Commercial"),$D6*$E6,0)</x:f>
        <x:v>0</x:v>
      </x:c>
      <x:c r="AA6" s="108" t="n">
        <x:f>IF(AA$5=$C6,$F6,0)+IF(AND(AA$5&gt;=$C6,$B6="Commercial"),$D6*$E6,0)</x:f>
        <x:v>0</x:v>
      </x:c>
      <x:c r="AB6" s="108" t="n">
        <x:f>IF(AB$5=$C6,$F6,0)+IF(AND(AB$5&gt;=$C6,$B6="Commercial"),$D6*$E6,0)</x:f>
        <x:v>0</x:v>
      </x:c>
      <x:c r="AC6" s="108" t="n">
        <x:f>IF(AC$5=$C6,$F6,0)+IF(AND(AC$5&gt;=$C6,$B6="Commercial"),$D6*$E6,0)</x:f>
        <x:v>0</x:v>
      </x:c>
      <x:c r="AD6" s="108" t="n">
        <x:f>IF(AD$5=$C6,$F6,0)+IF(AND(AD$5&gt;=$C6,$B6="Commercial"),$D6*$E6,0)</x:f>
        <x:v>0</x:v>
      </x:c>
      <x:c r="AE6" s="108" t="n">
        <x:f>IF(AE$5=$C6,$F6,0)+IF(AND(AE$5&gt;=$C6,$B6="Commercial"),$D6*$E6,0)</x:f>
        <x:v>0</x:v>
      </x:c>
      <x:c r="AF6" s="108" t="n">
        <x:f>IF(AF$5=$C6,$F6,0)+IF(AND(AF$5&gt;=$C6,$B6="Commercial"),$D6*$E6,0)</x:f>
        <x:v>0</x:v>
      </x:c>
      <x:c r="AG6" s="108" t="n">
        <x:f>IF(AG$5=$C6,$F6,0)+IF(AND(AG$5&gt;=$C6,$B6="Commercial"),$D6*$E6,0)</x:f>
        <x:v>0</x:v>
      </x:c>
      <x:c r="AH6" s="108" t="n">
        <x:f>IF(AH$5=$C6,$F6,0)+IF(AND(AH$5&gt;=$C6,$B6="Commercial"),$D6*$E6,0)</x:f>
        <x:v>0</x:v>
      </x:c>
      <x:c r="AI6" s="108" t="n">
        <x:f>IF(AI$5=$C6,$F6,0)+IF(AND(AI$5&gt;=$C6,$B6="Commercial"),$D6*$E6,0)</x:f>
        <x:v>0</x:v>
      </x:c>
      <x:c r="AJ6" s="108" t="n">
        <x:f>IF(AJ$5=$C6,$F6,0)+IF(AND(AJ$5&gt;=$C6,$B6="Commercial"),$D6*$E6,0)</x:f>
        <x:v>0</x:v>
      </x:c>
      <x:c r="AK6" s="108" t="n">
        <x:f>IF(AK$5=$C6,$F6,0)+IF(AND(AK$5&gt;=$C6,$B6="Commercial"),$D6*$E6,0)</x:f>
        <x:v>0</x:v>
      </x:c>
      <x:c r="AL6" s="108" t="n">
        <x:f>IF(AL$5=$C6,$F6,0)+IF(AND(AL$5&gt;=$C6,$B6="Commercial"),$D6*$E6,0)</x:f>
        <x:v>0</x:v>
      </x:c>
      <x:c r="AM6" s="108" t="n">
        <x:f>IF(AM$5=$C6,$F6,0)+IF(AND(AM$5&gt;=$C6,$B6="Commercial"),$D6*$E6,0)</x:f>
        <x:v>0</x:v>
      </x:c>
      <x:c r="AN6" s="108" t="n">
        <x:f>IF(AN$5=$C6,$F6,0)+IF(AND(AN$5&gt;=$C6,$B6="Commercial"),$D6*$E6,0)</x:f>
        <x:v>0</x:v>
      </x:c>
      <x:c r="AO6" s="108" t="n">
        <x:f>IF(AO$5=$C6,$F6,0)+IF(AND(AO$5&gt;=$C6,$B6="Commercial"),$D6*$E6,0)</x:f>
        <x:v>0</x:v>
      </x:c>
      <x:c r="AP6" s="108" t="n">
        <x:f>IF(AP$5=$C6,$F6,0)+IF(AND(AP$5&gt;=$C6,$B6="Commercial"),$D6*$E6,0)</x:f>
        <x:v>0</x:v>
      </x:c>
      <x:c r="AQ6" s="108" t="n">
        <x:f>IF(AQ$5=$C6,$F6,0)+IF(AND(AQ$5&gt;=$C6,$B6="Commercial"),$D6*$E6,0)</x:f>
        <x:v>0</x:v>
      </x:c>
    </x:row>
    <x:row r="7">
      <x:c r="A7" s="98" t="str">
        <x:v>DP-02 Krallmann AG</x:v>
      </x:c>
      <x:c r="B7" s="98" t="str">
        <x:v>Design partner</x:v>
      </x:c>
      <x:c r="C7" s="106" t="n">
        <x:v>4</x:v>
      </x:c>
      <x:c r="D7" s="106" t="n">
        <x:v>0</x:v>
      </x:c>
      <x:c r="E7" s="107" t="n">
        <x:v>0</x:v>
      </x:c>
      <x:c r="F7" s="107" t="n">
        <x:v>0</x:v>
      </x:c>
      <x:c r="G7" s="98" t="str">
        <x:v>API-token cost pass-through; no revenue</x:v>
      </x:c>
      <x:c r="H7" s="108" t="n">
        <x:f>IF(H$5=$C7,$F7,0)+IF(AND(H$5&gt;=$C7,$B7="Commercial"),$D7*$E7,0)</x:f>
        <x:v>0</x:v>
      </x:c>
      <x:c r="I7" s="108" t="n">
        <x:f>IF(I$5=$C7,$F7,0)+IF(AND(I$5&gt;=$C7,$B7="Commercial"),$D7*$E7,0)</x:f>
        <x:v>0</x:v>
      </x:c>
      <x:c r="J7" s="108" t="n">
        <x:f>IF(J$5=$C7,$F7,0)+IF(AND(J$5&gt;=$C7,$B7="Commercial"),$D7*$E7,0)</x:f>
        <x:v>0</x:v>
      </x:c>
      <x:c r="K7" s="108" t="n">
        <x:f>IF(K$5=$C7,$F7,0)+IF(AND(K$5&gt;=$C7,$B7="Commercial"),$D7*$E7,0)</x:f>
        <x:v>0</x:v>
      </x:c>
      <x:c r="L7" s="108" t="n">
        <x:f>IF(L$5=$C7,$F7,0)+IF(AND(L$5&gt;=$C7,$B7="Commercial"),$D7*$E7,0)</x:f>
        <x:v>0</x:v>
      </x:c>
      <x:c r="M7" s="108" t="n">
        <x:f>IF(M$5=$C7,$F7,0)+IF(AND(M$5&gt;=$C7,$B7="Commercial"),$D7*$E7,0)</x:f>
        <x:v>0</x:v>
      </x:c>
      <x:c r="N7" s="108" t="n">
        <x:f>IF(N$5=$C7,$F7,0)+IF(AND(N$5&gt;=$C7,$B7="Commercial"),$D7*$E7,0)</x:f>
        <x:v>0</x:v>
      </x:c>
      <x:c r="O7" s="108" t="n">
        <x:f>IF(O$5=$C7,$F7,0)+IF(AND(O$5&gt;=$C7,$B7="Commercial"),$D7*$E7,0)</x:f>
        <x:v>0</x:v>
      </x:c>
      <x:c r="P7" s="108" t="n">
        <x:f>IF(P$5=$C7,$F7,0)+IF(AND(P$5&gt;=$C7,$B7="Commercial"),$D7*$E7,0)</x:f>
        <x:v>0</x:v>
      </x:c>
      <x:c r="Q7" s="108" t="n">
        <x:f>IF(Q$5=$C7,$F7,0)+IF(AND(Q$5&gt;=$C7,$B7="Commercial"),$D7*$E7,0)</x:f>
        <x:v>0</x:v>
      </x:c>
      <x:c r="R7" s="108" t="n">
        <x:f>IF(R$5=$C7,$F7,0)+IF(AND(R$5&gt;=$C7,$B7="Commercial"),$D7*$E7,0)</x:f>
        <x:v>0</x:v>
      </x:c>
      <x:c r="S7" s="108" t="n">
        <x:f>IF(S$5=$C7,$F7,0)+IF(AND(S$5&gt;=$C7,$B7="Commercial"),$D7*$E7,0)</x:f>
        <x:v>0</x:v>
      </x:c>
      <x:c r="T7" s="108" t="n">
        <x:f>IF(T$5=$C7,$F7,0)+IF(AND(T$5&gt;=$C7,$B7="Commercial"),$D7*$E7,0)</x:f>
        <x:v>0</x:v>
      </x:c>
      <x:c r="U7" s="108" t="n">
        <x:f>IF(U$5=$C7,$F7,0)+IF(AND(U$5&gt;=$C7,$B7="Commercial"),$D7*$E7,0)</x:f>
        <x:v>0</x:v>
      </x:c>
      <x:c r="V7" s="108" t="n">
        <x:f>IF(V$5=$C7,$F7,0)+IF(AND(V$5&gt;=$C7,$B7="Commercial"),$D7*$E7,0)</x:f>
        <x:v>0</x:v>
      </x:c>
      <x:c r="W7" s="108" t="n">
        <x:f>IF(W$5=$C7,$F7,0)+IF(AND(W$5&gt;=$C7,$B7="Commercial"),$D7*$E7,0)</x:f>
        <x:v>0</x:v>
      </x:c>
      <x:c r="X7" s="108" t="n">
        <x:f>IF(X$5=$C7,$F7,0)+IF(AND(X$5&gt;=$C7,$B7="Commercial"),$D7*$E7,0)</x:f>
        <x:v>0</x:v>
      </x:c>
      <x:c r="Y7" s="108" t="n">
        <x:f>IF(Y$5=$C7,$F7,0)+IF(AND(Y$5&gt;=$C7,$B7="Commercial"),$D7*$E7,0)</x:f>
        <x:v>0</x:v>
      </x:c>
      <x:c r="Z7" s="108" t="n">
        <x:f>IF(Z$5=$C7,$F7,0)+IF(AND(Z$5&gt;=$C7,$B7="Commercial"),$D7*$E7,0)</x:f>
        <x:v>0</x:v>
      </x:c>
      <x:c r="AA7" s="108" t="n">
        <x:f>IF(AA$5=$C7,$F7,0)+IF(AND(AA$5&gt;=$C7,$B7="Commercial"),$D7*$E7,0)</x:f>
        <x:v>0</x:v>
      </x:c>
      <x:c r="AB7" s="108" t="n">
        <x:f>IF(AB$5=$C7,$F7,0)+IF(AND(AB$5&gt;=$C7,$B7="Commercial"),$D7*$E7,0)</x:f>
        <x:v>0</x:v>
      </x:c>
      <x:c r="AC7" s="108" t="n">
        <x:f>IF(AC$5=$C7,$F7,0)+IF(AND(AC$5&gt;=$C7,$B7="Commercial"),$D7*$E7,0)</x:f>
        <x:v>0</x:v>
      </x:c>
      <x:c r="AD7" s="108" t="n">
        <x:f>IF(AD$5=$C7,$F7,0)+IF(AND(AD$5&gt;=$C7,$B7="Commercial"),$D7*$E7,0)</x:f>
        <x:v>0</x:v>
      </x:c>
      <x:c r="AE7" s="108" t="n">
        <x:f>IF(AE$5=$C7,$F7,0)+IF(AND(AE$5&gt;=$C7,$B7="Commercial"),$D7*$E7,0)</x:f>
        <x:v>0</x:v>
      </x:c>
      <x:c r="AF7" s="108" t="n">
        <x:f>IF(AF$5=$C7,$F7,0)+IF(AND(AF$5&gt;=$C7,$B7="Commercial"),$D7*$E7,0)</x:f>
        <x:v>0</x:v>
      </x:c>
      <x:c r="AG7" s="108" t="n">
        <x:f>IF(AG$5=$C7,$F7,0)+IF(AND(AG$5&gt;=$C7,$B7="Commercial"),$D7*$E7,0)</x:f>
        <x:v>0</x:v>
      </x:c>
      <x:c r="AH7" s="108" t="n">
        <x:f>IF(AH$5=$C7,$F7,0)+IF(AND(AH$5&gt;=$C7,$B7="Commercial"),$D7*$E7,0)</x:f>
        <x:v>0</x:v>
      </x:c>
      <x:c r="AI7" s="108" t="n">
        <x:f>IF(AI$5=$C7,$F7,0)+IF(AND(AI$5&gt;=$C7,$B7="Commercial"),$D7*$E7,0)</x:f>
        <x:v>0</x:v>
      </x:c>
      <x:c r="AJ7" s="108" t="n">
        <x:f>IF(AJ$5=$C7,$F7,0)+IF(AND(AJ$5&gt;=$C7,$B7="Commercial"),$D7*$E7,0)</x:f>
        <x:v>0</x:v>
      </x:c>
      <x:c r="AK7" s="108" t="n">
        <x:f>IF(AK$5=$C7,$F7,0)+IF(AND(AK$5&gt;=$C7,$B7="Commercial"),$D7*$E7,0)</x:f>
        <x:v>0</x:v>
      </x:c>
      <x:c r="AL7" s="108" t="n">
        <x:f>IF(AL$5=$C7,$F7,0)+IF(AND(AL$5&gt;=$C7,$B7="Commercial"),$D7*$E7,0)</x:f>
        <x:v>0</x:v>
      </x:c>
      <x:c r="AM7" s="108" t="n">
        <x:f>IF(AM$5=$C7,$F7,0)+IF(AND(AM$5&gt;=$C7,$B7="Commercial"),$D7*$E7,0)</x:f>
        <x:v>0</x:v>
      </x:c>
      <x:c r="AN7" s="108" t="n">
        <x:f>IF(AN$5=$C7,$F7,0)+IF(AND(AN$5&gt;=$C7,$B7="Commercial"),$D7*$E7,0)</x:f>
        <x:v>0</x:v>
      </x:c>
      <x:c r="AO7" s="108" t="n">
        <x:f>IF(AO$5=$C7,$F7,0)+IF(AND(AO$5&gt;=$C7,$B7="Commercial"),$D7*$E7,0)</x:f>
        <x:v>0</x:v>
      </x:c>
      <x:c r="AP7" s="108" t="n">
        <x:f>IF(AP$5=$C7,$F7,0)+IF(AND(AP$5&gt;=$C7,$B7="Commercial"),$D7*$E7,0)</x:f>
        <x:v>0</x:v>
      </x:c>
      <x:c r="AQ7" s="108" t="n">
        <x:f>IF(AQ$5=$C7,$F7,0)+IF(AND(AQ$5&gt;=$C7,$B7="Commercial"),$D7*$E7,0)</x:f>
        <x:v>0</x:v>
      </x:c>
    </x:row>
    <x:row r="8">
      <x:c r="A8" s="98" t="str">
        <x:v>C-01</x:v>
      </x:c>
      <x:c r="B8" s="98" t="str">
        <x:v>Commercial</x:v>
      </x:c>
      <x:c r="C8" s="106" t="n">
        <x:v>6</x:v>
      </x:c>
      <x:c r="D8" s="106" t="n">
        <x:v>45</x:v>
      </x:c>
      <x:c r="E8" s="107" t="n">
        <x:v>50</x:v>
      </x:c>
      <x:c r="F8" s="107" t="n">
        <x:v>5000</x:v>
      </x:c>
      <x:c r="G8" s="98" t="str">
        <x:v>Founding commercial cohort</x:v>
      </x:c>
      <x:c r="H8" s="108" t="n">
        <x:f>IF(H$5=$C8,$F8,0)+IF(AND(H$5&gt;=$C8,$B8="Commercial"),$D8*$E8,0)</x:f>
        <x:v>0</x:v>
      </x:c>
      <x:c r="I8" s="108" t="n">
        <x:f>IF(I$5=$C8,$F8,0)+IF(AND(I$5&gt;=$C8,$B8="Commercial"),$D8*$E8,0)</x:f>
        <x:v>0</x:v>
      </x:c>
      <x:c r="J8" s="108" t="n">
        <x:f>IF(J$5=$C8,$F8,0)+IF(AND(J$5&gt;=$C8,$B8="Commercial"),$D8*$E8,0)</x:f>
        <x:v>0</x:v>
      </x:c>
      <x:c r="K8" s="108" t="n">
        <x:f>IF(K$5=$C8,$F8,0)+IF(AND(K$5&gt;=$C8,$B8="Commercial"),$D8*$E8,0)</x:f>
        <x:v>0</x:v>
      </x:c>
      <x:c r="L8" s="108" t="n">
        <x:f>IF(L$5=$C8,$F8,0)+IF(AND(L$5&gt;=$C8,$B8="Commercial"),$D8*$E8,0)</x:f>
        <x:v>0</x:v>
      </x:c>
      <x:c r="M8" s="108" t="n">
        <x:f>IF(M$5=$C8,$F8,0)+IF(AND(M$5&gt;=$C8,$B8="Commercial"),$D8*$E8,0)</x:f>
        <x:v>7250</x:v>
      </x:c>
      <x:c r="N8" s="108" t="n">
        <x:f>IF(N$5=$C8,$F8,0)+IF(AND(N$5&gt;=$C8,$B8="Commercial"),$D8*$E8,0)</x:f>
        <x:v>2250</x:v>
      </x:c>
      <x:c r="O8" s="108" t="n">
        <x:f>IF(O$5=$C8,$F8,0)+IF(AND(O$5&gt;=$C8,$B8="Commercial"),$D8*$E8,0)</x:f>
        <x:v>2250</x:v>
      </x:c>
      <x:c r="P8" s="108" t="n">
        <x:f>IF(P$5=$C8,$F8,0)+IF(AND(P$5&gt;=$C8,$B8="Commercial"),$D8*$E8,0)</x:f>
        <x:v>2250</x:v>
      </x:c>
      <x:c r="Q8" s="108" t="n">
        <x:f>IF(Q$5=$C8,$F8,0)+IF(AND(Q$5&gt;=$C8,$B8="Commercial"),$D8*$E8,0)</x:f>
        <x:v>2250</x:v>
      </x:c>
      <x:c r="R8" s="108" t="n">
        <x:f>IF(R$5=$C8,$F8,0)+IF(AND(R$5&gt;=$C8,$B8="Commercial"),$D8*$E8,0)</x:f>
        <x:v>2250</x:v>
      </x:c>
      <x:c r="S8" s="108" t="n">
        <x:f>IF(S$5=$C8,$F8,0)+IF(AND(S$5&gt;=$C8,$B8="Commercial"),$D8*$E8,0)</x:f>
        <x:v>2250</x:v>
      </x:c>
      <x:c r="T8" s="108" t="n">
        <x:f>IF(T$5=$C8,$F8,0)+IF(AND(T$5&gt;=$C8,$B8="Commercial"),$D8*$E8,0)</x:f>
        <x:v>2250</x:v>
      </x:c>
      <x:c r="U8" s="108" t="n">
        <x:f>IF(U$5=$C8,$F8,0)+IF(AND(U$5&gt;=$C8,$B8="Commercial"),$D8*$E8,0)</x:f>
        <x:v>2250</x:v>
      </x:c>
      <x:c r="V8" s="108" t="n">
        <x:f>IF(V$5=$C8,$F8,0)+IF(AND(V$5&gt;=$C8,$B8="Commercial"),$D8*$E8,0)</x:f>
        <x:v>2250</x:v>
      </x:c>
      <x:c r="W8" s="108" t="n">
        <x:f>IF(W$5=$C8,$F8,0)+IF(AND(W$5&gt;=$C8,$B8="Commercial"),$D8*$E8,0)</x:f>
        <x:v>2250</x:v>
      </x:c>
      <x:c r="X8" s="108" t="n">
        <x:f>IF(X$5=$C8,$F8,0)+IF(AND(X$5&gt;=$C8,$B8="Commercial"),$D8*$E8,0)</x:f>
        <x:v>2250</x:v>
      </x:c>
      <x:c r="Y8" s="108" t="n">
        <x:f>IF(Y$5=$C8,$F8,0)+IF(AND(Y$5&gt;=$C8,$B8="Commercial"),$D8*$E8,0)</x:f>
        <x:v>2250</x:v>
      </x:c>
      <x:c r="Z8" s="108" t="n">
        <x:f>IF(Z$5=$C8,$F8,0)+IF(AND(Z$5&gt;=$C8,$B8="Commercial"),$D8*$E8,0)</x:f>
        <x:v>2250</x:v>
      </x:c>
      <x:c r="AA8" s="108" t="n">
        <x:f>IF(AA$5=$C8,$F8,0)+IF(AND(AA$5&gt;=$C8,$B8="Commercial"),$D8*$E8,0)</x:f>
        <x:v>2250</x:v>
      </x:c>
      <x:c r="AB8" s="108" t="n">
        <x:f>IF(AB$5=$C8,$F8,0)+IF(AND(AB$5&gt;=$C8,$B8="Commercial"),$D8*$E8,0)</x:f>
        <x:v>2250</x:v>
      </x:c>
      <x:c r="AC8" s="108" t="n">
        <x:f>IF(AC$5=$C8,$F8,0)+IF(AND(AC$5&gt;=$C8,$B8="Commercial"),$D8*$E8,0)</x:f>
        <x:v>2250</x:v>
      </x:c>
      <x:c r="AD8" s="108" t="n">
        <x:f>IF(AD$5=$C8,$F8,0)+IF(AND(AD$5&gt;=$C8,$B8="Commercial"),$D8*$E8,0)</x:f>
        <x:v>2250</x:v>
      </x:c>
      <x:c r="AE8" s="108" t="n">
        <x:f>IF(AE$5=$C8,$F8,0)+IF(AND(AE$5&gt;=$C8,$B8="Commercial"),$D8*$E8,0)</x:f>
        <x:v>2250</x:v>
      </x:c>
      <x:c r="AF8" s="108" t="n">
        <x:f>IF(AF$5=$C8,$F8,0)+IF(AND(AF$5&gt;=$C8,$B8="Commercial"),$D8*$E8,0)</x:f>
        <x:v>2250</x:v>
      </x:c>
      <x:c r="AG8" s="108" t="n">
        <x:f>IF(AG$5=$C8,$F8,0)+IF(AND(AG$5&gt;=$C8,$B8="Commercial"),$D8*$E8,0)</x:f>
        <x:v>2250</x:v>
      </x:c>
      <x:c r="AH8" s="108" t="n">
        <x:f>IF(AH$5=$C8,$F8,0)+IF(AND(AH$5&gt;=$C8,$B8="Commercial"),$D8*$E8,0)</x:f>
        <x:v>2250</x:v>
      </x:c>
      <x:c r="AI8" s="108" t="n">
        <x:f>IF(AI$5=$C8,$F8,0)+IF(AND(AI$5&gt;=$C8,$B8="Commercial"),$D8*$E8,0)</x:f>
        <x:v>2250</x:v>
      </x:c>
      <x:c r="AJ8" s="108" t="n">
        <x:f>IF(AJ$5=$C8,$F8,0)+IF(AND(AJ$5&gt;=$C8,$B8="Commercial"),$D8*$E8,0)</x:f>
        <x:v>2250</x:v>
      </x:c>
      <x:c r="AK8" s="108" t="n">
        <x:f>IF(AK$5=$C8,$F8,0)+IF(AND(AK$5&gt;=$C8,$B8="Commercial"),$D8*$E8,0)</x:f>
        <x:v>2250</x:v>
      </x:c>
      <x:c r="AL8" s="108" t="n">
        <x:f>IF(AL$5=$C8,$F8,0)+IF(AND(AL$5&gt;=$C8,$B8="Commercial"),$D8*$E8,0)</x:f>
        <x:v>2250</x:v>
      </x:c>
      <x:c r="AM8" s="108" t="n">
        <x:f>IF(AM$5=$C8,$F8,0)+IF(AND(AM$5&gt;=$C8,$B8="Commercial"),$D8*$E8,0)</x:f>
        <x:v>2250</x:v>
      </x:c>
      <x:c r="AN8" s="108" t="n">
        <x:f>IF(AN$5=$C8,$F8,0)+IF(AND(AN$5&gt;=$C8,$B8="Commercial"),$D8*$E8,0)</x:f>
        <x:v>2250</x:v>
      </x:c>
      <x:c r="AO8" s="108" t="n">
        <x:f>IF(AO$5=$C8,$F8,0)+IF(AND(AO$5&gt;=$C8,$B8="Commercial"),$D8*$E8,0)</x:f>
        <x:v>2250</x:v>
      </x:c>
      <x:c r="AP8" s="108" t="n">
        <x:f>IF(AP$5=$C8,$F8,0)+IF(AND(AP$5&gt;=$C8,$B8="Commercial"),$D8*$E8,0)</x:f>
        <x:v>2250</x:v>
      </x:c>
      <x:c r="AQ8" s="108" t="n">
        <x:f>IF(AQ$5=$C8,$F8,0)+IF(AND(AQ$5&gt;=$C8,$B8="Commercial"),$D8*$E8,0)</x:f>
        <x:v>2250</x:v>
      </x:c>
    </x:row>
    <x:row r="9">
      <x:c r="A9" s="98" t="str">
        <x:v>C-02</x:v>
      </x:c>
      <x:c r="B9" s="98" t="str">
        <x:v>Commercial</x:v>
      </x:c>
      <x:c r="C9" s="106" t="n">
        <x:v>8</x:v>
      </x:c>
      <x:c r="D9" s="106" t="n">
        <x:v>45</x:v>
      </x:c>
      <x:c r="E9" s="107" t="n">
        <x:v>50</x:v>
      </x:c>
      <x:c r="F9" s="107" t="n">
        <x:v>5000</x:v>
      </x:c>
      <x:c r="G9" s="98" t="str">
        <x:v>Founding commercial cohort</x:v>
      </x:c>
      <x:c r="H9" s="108" t="n">
        <x:f>IF(H$5=$C9,$F9,0)+IF(AND(H$5&gt;=$C9,$B9="Commercial"),$D9*$E9,0)</x:f>
        <x:v>0</x:v>
      </x:c>
      <x:c r="I9" s="108" t="n">
        <x:f>IF(I$5=$C9,$F9,0)+IF(AND(I$5&gt;=$C9,$B9="Commercial"),$D9*$E9,0)</x:f>
        <x:v>0</x:v>
      </x:c>
      <x:c r="J9" s="108" t="n">
        <x:f>IF(J$5=$C9,$F9,0)+IF(AND(J$5&gt;=$C9,$B9="Commercial"),$D9*$E9,0)</x:f>
        <x:v>0</x:v>
      </x:c>
      <x:c r="K9" s="108" t="n">
        <x:f>IF(K$5=$C9,$F9,0)+IF(AND(K$5&gt;=$C9,$B9="Commercial"),$D9*$E9,0)</x:f>
        <x:v>0</x:v>
      </x:c>
      <x:c r="L9" s="108" t="n">
        <x:f>IF(L$5=$C9,$F9,0)+IF(AND(L$5&gt;=$C9,$B9="Commercial"),$D9*$E9,0)</x:f>
        <x:v>0</x:v>
      </x:c>
      <x:c r="M9" s="108" t="n">
        <x:f>IF(M$5=$C9,$F9,0)+IF(AND(M$5&gt;=$C9,$B9="Commercial"),$D9*$E9,0)</x:f>
        <x:v>0</x:v>
      </x:c>
      <x:c r="N9" s="108" t="n">
        <x:f>IF(N$5=$C9,$F9,0)+IF(AND(N$5&gt;=$C9,$B9="Commercial"),$D9*$E9,0)</x:f>
        <x:v>0</x:v>
      </x:c>
      <x:c r="O9" s="108" t="n">
        <x:f>IF(O$5=$C9,$F9,0)+IF(AND(O$5&gt;=$C9,$B9="Commercial"),$D9*$E9,0)</x:f>
        <x:v>7250</x:v>
      </x:c>
      <x:c r="P9" s="108" t="n">
        <x:f>IF(P$5=$C9,$F9,0)+IF(AND(P$5&gt;=$C9,$B9="Commercial"),$D9*$E9,0)</x:f>
        <x:v>2250</x:v>
      </x:c>
      <x:c r="Q9" s="108" t="n">
        <x:f>IF(Q$5=$C9,$F9,0)+IF(AND(Q$5&gt;=$C9,$B9="Commercial"),$D9*$E9,0)</x:f>
        <x:v>2250</x:v>
      </x:c>
      <x:c r="R9" s="108" t="n">
        <x:f>IF(R$5=$C9,$F9,0)+IF(AND(R$5&gt;=$C9,$B9="Commercial"),$D9*$E9,0)</x:f>
        <x:v>2250</x:v>
      </x:c>
      <x:c r="S9" s="108" t="n">
        <x:f>IF(S$5=$C9,$F9,0)+IF(AND(S$5&gt;=$C9,$B9="Commercial"),$D9*$E9,0)</x:f>
        <x:v>2250</x:v>
      </x:c>
      <x:c r="T9" s="108" t="n">
        <x:f>IF(T$5=$C9,$F9,0)+IF(AND(T$5&gt;=$C9,$B9="Commercial"),$D9*$E9,0)</x:f>
        <x:v>2250</x:v>
      </x:c>
      <x:c r="U9" s="108" t="n">
        <x:f>IF(U$5=$C9,$F9,0)+IF(AND(U$5&gt;=$C9,$B9="Commercial"),$D9*$E9,0)</x:f>
        <x:v>2250</x:v>
      </x:c>
      <x:c r="V9" s="108" t="n">
        <x:f>IF(V$5=$C9,$F9,0)+IF(AND(V$5&gt;=$C9,$B9="Commercial"),$D9*$E9,0)</x:f>
        <x:v>2250</x:v>
      </x:c>
      <x:c r="W9" s="108" t="n">
        <x:f>IF(W$5=$C9,$F9,0)+IF(AND(W$5&gt;=$C9,$B9="Commercial"),$D9*$E9,0)</x:f>
        <x:v>2250</x:v>
      </x:c>
      <x:c r="X9" s="108" t="n">
        <x:f>IF(X$5=$C9,$F9,0)+IF(AND(X$5&gt;=$C9,$B9="Commercial"),$D9*$E9,0)</x:f>
        <x:v>2250</x:v>
      </x:c>
      <x:c r="Y9" s="108" t="n">
        <x:f>IF(Y$5=$C9,$F9,0)+IF(AND(Y$5&gt;=$C9,$B9="Commercial"),$D9*$E9,0)</x:f>
        <x:v>2250</x:v>
      </x:c>
      <x:c r="Z9" s="108" t="n">
        <x:f>IF(Z$5=$C9,$F9,0)+IF(AND(Z$5&gt;=$C9,$B9="Commercial"),$D9*$E9,0)</x:f>
        <x:v>2250</x:v>
      </x:c>
      <x:c r="AA9" s="108" t="n">
        <x:f>IF(AA$5=$C9,$F9,0)+IF(AND(AA$5&gt;=$C9,$B9="Commercial"),$D9*$E9,0)</x:f>
        <x:v>2250</x:v>
      </x:c>
      <x:c r="AB9" s="108" t="n">
        <x:f>IF(AB$5=$C9,$F9,0)+IF(AND(AB$5&gt;=$C9,$B9="Commercial"),$D9*$E9,0)</x:f>
        <x:v>2250</x:v>
      </x:c>
      <x:c r="AC9" s="108" t="n">
        <x:f>IF(AC$5=$C9,$F9,0)+IF(AND(AC$5&gt;=$C9,$B9="Commercial"),$D9*$E9,0)</x:f>
        <x:v>2250</x:v>
      </x:c>
      <x:c r="AD9" s="108" t="n">
        <x:f>IF(AD$5=$C9,$F9,0)+IF(AND(AD$5&gt;=$C9,$B9="Commercial"),$D9*$E9,0)</x:f>
        <x:v>2250</x:v>
      </x:c>
      <x:c r="AE9" s="108" t="n">
        <x:f>IF(AE$5=$C9,$F9,0)+IF(AND(AE$5&gt;=$C9,$B9="Commercial"),$D9*$E9,0)</x:f>
        <x:v>2250</x:v>
      </x:c>
      <x:c r="AF9" s="108" t="n">
        <x:f>IF(AF$5=$C9,$F9,0)+IF(AND(AF$5&gt;=$C9,$B9="Commercial"),$D9*$E9,0)</x:f>
        <x:v>2250</x:v>
      </x:c>
      <x:c r="AG9" s="108" t="n">
        <x:f>IF(AG$5=$C9,$F9,0)+IF(AND(AG$5&gt;=$C9,$B9="Commercial"),$D9*$E9,0)</x:f>
        <x:v>2250</x:v>
      </x:c>
      <x:c r="AH9" s="108" t="n">
        <x:f>IF(AH$5=$C9,$F9,0)+IF(AND(AH$5&gt;=$C9,$B9="Commercial"),$D9*$E9,0)</x:f>
        <x:v>2250</x:v>
      </x:c>
      <x:c r="AI9" s="108" t="n">
        <x:f>IF(AI$5=$C9,$F9,0)+IF(AND(AI$5&gt;=$C9,$B9="Commercial"),$D9*$E9,0)</x:f>
        <x:v>2250</x:v>
      </x:c>
      <x:c r="AJ9" s="108" t="n">
        <x:f>IF(AJ$5=$C9,$F9,0)+IF(AND(AJ$5&gt;=$C9,$B9="Commercial"),$D9*$E9,0)</x:f>
        <x:v>2250</x:v>
      </x:c>
      <x:c r="AK9" s="108" t="n">
        <x:f>IF(AK$5=$C9,$F9,0)+IF(AND(AK$5&gt;=$C9,$B9="Commercial"),$D9*$E9,0)</x:f>
        <x:v>2250</x:v>
      </x:c>
      <x:c r="AL9" s="108" t="n">
        <x:f>IF(AL$5=$C9,$F9,0)+IF(AND(AL$5&gt;=$C9,$B9="Commercial"),$D9*$E9,0)</x:f>
        <x:v>2250</x:v>
      </x:c>
      <x:c r="AM9" s="108" t="n">
        <x:f>IF(AM$5=$C9,$F9,0)+IF(AND(AM$5&gt;=$C9,$B9="Commercial"),$D9*$E9,0)</x:f>
        <x:v>2250</x:v>
      </x:c>
      <x:c r="AN9" s="108" t="n">
        <x:f>IF(AN$5=$C9,$F9,0)+IF(AND(AN$5&gt;=$C9,$B9="Commercial"),$D9*$E9,0)</x:f>
        <x:v>2250</x:v>
      </x:c>
      <x:c r="AO9" s="108" t="n">
        <x:f>IF(AO$5=$C9,$F9,0)+IF(AND(AO$5&gt;=$C9,$B9="Commercial"),$D9*$E9,0)</x:f>
        <x:v>2250</x:v>
      </x:c>
      <x:c r="AP9" s="108" t="n">
        <x:f>IF(AP$5=$C9,$F9,0)+IF(AND(AP$5&gt;=$C9,$B9="Commercial"),$D9*$E9,0)</x:f>
        <x:v>2250</x:v>
      </x:c>
      <x:c r="AQ9" s="108" t="n">
        <x:f>IF(AQ$5=$C9,$F9,0)+IF(AND(AQ$5&gt;=$C9,$B9="Commercial"),$D9*$E9,0)</x:f>
        <x:v>2250</x:v>
      </x:c>
    </x:row>
    <x:row r="10">
      <x:c r="A10" s="98" t="str">
        <x:v>C-03</x:v>
      </x:c>
      <x:c r="B10" s="98" t="str">
        <x:v>Commercial</x:v>
      </x:c>
      <x:c r="C10" s="106" t="n">
        <x:v>10</x:v>
      </x:c>
      <x:c r="D10" s="106" t="n">
        <x:v>45</x:v>
      </x:c>
      <x:c r="E10" s="107" t="n">
        <x:v>50</x:v>
      </x:c>
      <x:c r="F10" s="107" t="n">
        <x:v>5000</x:v>
      </x:c>
      <x:c r="G10" s="98" t="str">
        <x:v>Founding commercial cohort</x:v>
      </x:c>
      <x:c r="H10" s="108" t="n">
        <x:f>IF(H$5=$C10,$F10,0)+IF(AND(H$5&gt;=$C10,$B10="Commercial"),$D10*$E10,0)</x:f>
        <x:v>0</x:v>
      </x:c>
      <x:c r="I10" s="108" t="n">
        <x:f>IF(I$5=$C10,$F10,0)+IF(AND(I$5&gt;=$C10,$B10="Commercial"),$D10*$E10,0)</x:f>
        <x:v>0</x:v>
      </x:c>
      <x:c r="J10" s="108" t="n">
        <x:f>IF(J$5=$C10,$F10,0)+IF(AND(J$5&gt;=$C10,$B10="Commercial"),$D10*$E10,0)</x:f>
        <x:v>0</x:v>
      </x:c>
      <x:c r="K10" s="108" t="n">
        <x:f>IF(K$5=$C10,$F10,0)+IF(AND(K$5&gt;=$C10,$B10="Commercial"),$D10*$E10,0)</x:f>
        <x:v>0</x:v>
      </x:c>
      <x:c r="L10" s="108" t="n">
        <x:f>IF(L$5=$C10,$F10,0)+IF(AND(L$5&gt;=$C10,$B10="Commercial"),$D10*$E10,0)</x:f>
        <x:v>0</x:v>
      </x:c>
      <x:c r="M10" s="108" t="n">
        <x:f>IF(M$5=$C10,$F10,0)+IF(AND(M$5&gt;=$C10,$B10="Commercial"),$D10*$E10,0)</x:f>
        <x:v>0</x:v>
      </x:c>
      <x:c r="N10" s="108" t="n">
        <x:f>IF(N$5=$C10,$F10,0)+IF(AND(N$5&gt;=$C10,$B10="Commercial"),$D10*$E10,0)</x:f>
        <x:v>0</x:v>
      </x:c>
      <x:c r="O10" s="108" t="n">
        <x:f>IF(O$5=$C10,$F10,0)+IF(AND(O$5&gt;=$C10,$B10="Commercial"),$D10*$E10,0)</x:f>
        <x:v>0</x:v>
      </x:c>
      <x:c r="P10" s="108" t="n">
        <x:f>IF(P$5=$C10,$F10,0)+IF(AND(P$5&gt;=$C10,$B10="Commercial"),$D10*$E10,0)</x:f>
        <x:v>0</x:v>
      </x:c>
      <x:c r="Q10" s="108" t="n">
        <x:f>IF(Q$5=$C10,$F10,0)+IF(AND(Q$5&gt;=$C10,$B10="Commercial"),$D10*$E10,0)</x:f>
        <x:v>7250</x:v>
      </x:c>
      <x:c r="R10" s="108" t="n">
        <x:f>IF(R$5=$C10,$F10,0)+IF(AND(R$5&gt;=$C10,$B10="Commercial"),$D10*$E10,0)</x:f>
        <x:v>2250</x:v>
      </x:c>
      <x:c r="S10" s="108" t="n">
        <x:f>IF(S$5=$C10,$F10,0)+IF(AND(S$5&gt;=$C10,$B10="Commercial"),$D10*$E10,0)</x:f>
        <x:v>2250</x:v>
      </x:c>
      <x:c r="T10" s="108" t="n">
        <x:f>IF(T$5=$C10,$F10,0)+IF(AND(T$5&gt;=$C10,$B10="Commercial"),$D10*$E10,0)</x:f>
        <x:v>2250</x:v>
      </x:c>
      <x:c r="U10" s="108" t="n">
        <x:f>IF(U$5=$C10,$F10,0)+IF(AND(U$5&gt;=$C10,$B10="Commercial"),$D10*$E10,0)</x:f>
        <x:v>2250</x:v>
      </x:c>
      <x:c r="V10" s="108" t="n">
        <x:f>IF(V$5=$C10,$F10,0)+IF(AND(V$5&gt;=$C10,$B10="Commercial"),$D10*$E10,0)</x:f>
        <x:v>2250</x:v>
      </x:c>
      <x:c r="W10" s="108" t="n">
        <x:f>IF(W$5=$C10,$F10,0)+IF(AND(W$5&gt;=$C10,$B10="Commercial"),$D10*$E10,0)</x:f>
        <x:v>2250</x:v>
      </x:c>
      <x:c r="X10" s="108" t="n">
        <x:f>IF(X$5=$C10,$F10,0)+IF(AND(X$5&gt;=$C10,$B10="Commercial"),$D10*$E10,0)</x:f>
        <x:v>2250</x:v>
      </x:c>
      <x:c r="Y10" s="108" t="n">
        <x:f>IF(Y$5=$C10,$F10,0)+IF(AND(Y$5&gt;=$C10,$B10="Commercial"),$D10*$E10,0)</x:f>
        <x:v>2250</x:v>
      </x:c>
      <x:c r="Z10" s="108" t="n">
        <x:f>IF(Z$5=$C10,$F10,0)+IF(AND(Z$5&gt;=$C10,$B10="Commercial"),$D10*$E10,0)</x:f>
        <x:v>2250</x:v>
      </x:c>
      <x:c r="AA10" s="108" t="n">
        <x:f>IF(AA$5=$C10,$F10,0)+IF(AND(AA$5&gt;=$C10,$B10="Commercial"),$D10*$E10,0)</x:f>
        <x:v>2250</x:v>
      </x:c>
      <x:c r="AB10" s="108" t="n">
        <x:f>IF(AB$5=$C10,$F10,0)+IF(AND(AB$5&gt;=$C10,$B10="Commercial"),$D10*$E10,0)</x:f>
        <x:v>2250</x:v>
      </x:c>
      <x:c r="AC10" s="108" t="n">
        <x:f>IF(AC$5=$C10,$F10,0)+IF(AND(AC$5&gt;=$C10,$B10="Commercial"),$D10*$E10,0)</x:f>
        <x:v>2250</x:v>
      </x:c>
      <x:c r="AD10" s="108" t="n">
        <x:f>IF(AD$5=$C10,$F10,0)+IF(AND(AD$5&gt;=$C10,$B10="Commercial"),$D10*$E10,0)</x:f>
        <x:v>2250</x:v>
      </x:c>
      <x:c r="AE10" s="108" t="n">
        <x:f>IF(AE$5=$C10,$F10,0)+IF(AND(AE$5&gt;=$C10,$B10="Commercial"),$D10*$E10,0)</x:f>
        <x:v>2250</x:v>
      </x:c>
      <x:c r="AF10" s="108" t="n">
        <x:f>IF(AF$5=$C10,$F10,0)+IF(AND(AF$5&gt;=$C10,$B10="Commercial"),$D10*$E10,0)</x:f>
        <x:v>2250</x:v>
      </x:c>
      <x:c r="AG10" s="108" t="n">
        <x:f>IF(AG$5=$C10,$F10,0)+IF(AND(AG$5&gt;=$C10,$B10="Commercial"),$D10*$E10,0)</x:f>
        <x:v>2250</x:v>
      </x:c>
      <x:c r="AH10" s="108" t="n">
        <x:f>IF(AH$5=$C10,$F10,0)+IF(AND(AH$5&gt;=$C10,$B10="Commercial"),$D10*$E10,0)</x:f>
        <x:v>2250</x:v>
      </x:c>
      <x:c r="AI10" s="108" t="n">
        <x:f>IF(AI$5=$C10,$F10,0)+IF(AND(AI$5&gt;=$C10,$B10="Commercial"),$D10*$E10,0)</x:f>
        <x:v>2250</x:v>
      </x:c>
      <x:c r="AJ10" s="108" t="n">
        <x:f>IF(AJ$5=$C10,$F10,0)+IF(AND(AJ$5&gt;=$C10,$B10="Commercial"),$D10*$E10,0)</x:f>
        <x:v>2250</x:v>
      </x:c>
      <x:c r="AK10" s="108" t="n">
        <x:f>IF(AK$5=$C10,$F10,0)+IF(AND(AK$5&gt;=$C10,$B10="Commercial"),$D10*$E10,0)</x:f>
        <x:v>2250</x:v>
      </x:c>
      <x:c r="AL10" s="108" t="n">
        <x:f>IF(AL$5=$C10,$F10,0)+IF(AND(AL$5&gt;=$C10,$B10="Commercial"),$D10*$E10,0)</x:f>
        <x:v>2250</x:v>
      </x:c>
      <x:c r="AM10" s="108" t="n">
        <x:f>IF(AM$5=$C10,$F10,0)+IF(AND(AM$5&gt;=$C10,$B10="Commercial"),$D10*$E10,0)</x:f>
        <x:v>2250</x:v>
      </x:c>
      <x:c r="AN10" s="108" t="n">
        <x:f>IF(AN$5=$C10,$F10,0)+IF(AND(AN$5&gt;=$C10,$B10="Commercial"),$D10*$E10,0)</x:f>
        <x:v>2250</x:v>
      </x:c>
      <x:c r="AO10" s="108" t="n">
        <x:f>IF(AO$5=$C10,$F10,0)+IF(AND(AO$5&gt;=$C10,$B10="Commercial"),$D10*$E10,0)</x:f>
        <x:v>2250</x:v>
      </x:c>
      <x:c r="AP10" s="108" t="n">
        <x:f>IF(AP$5=$C10,$F10,0)+IF(AND(AP$5&gt;=$C10,$B10="Commercial"),$D10*$E10,0)</x:f>
        <x:v>2250</x:v>
      </x:c>
      <x:c r="AQ10" s="108" t="n">
        <x:f>IF(AQ$5=$C10,$F10,0)+IF(AND(AQ$5&gt;=$C10,$B10="Commercial"),$D10*$E10,0)</x:f>
        <x:v>2250</x:v>
      </x:c>
    </x:row>
    <x:row r="11">
      <x:c r="A11" s="98" t="str">
        <x:v>C-04</x:v>
      </x:c>
      <x:c r="B11" s="98" t="str">
        <x:v>Commercial</x:v>
      </x:c>
      <x:c r="C11" s="106" t="n">
        <x:v>12</x:v>
      </x:c>
      <x:c r="D11" s="106" t="n">
        <x:v>45</x:v>
      </x:c>
      <x:c r="E11" s="107" t="n">
        <x:v>50</x:v>
      </x:c>
      <x:c r="F11" s="107" t="n">
        <x:v>5000</x:v>
      </x:c>
      <x:c r="G11" s="98" t="str">
        <x:v>Founding commercial cohort</x:v>
      </x:c>
      <x:c r="H11" s="108" t="n">
        <x:f>IF(H$5=$C11,$F11,0)+IF(AND(H$5&gt;=$C11,$B11="Commercial"),$D11*$E11,0)</x:f>
        <x:v>0</x:v>
      </x:c>
      <x:c r="I11" s="108" t="n">
        <x:f>IF(I$5=$C11,$F11,0)+IF(AND(I$5&gt;=$C11,$B11="Commercial"),$D11*$E11,0)</x:f>
        <x:v>0</x:v>
      </x:c>
      <x:c r="J11" s="108" t="n">
        <x:f>IF(J$5=$C11,$F11,0)+IF(AND(J$5&gt;=$C11,$B11="Commercial"),$D11*$E11,0)</x:f>
        <x:v>0</x:v>
      </x:c>
      <x:c r="K11" s="108" t="n">
        <x:f>IF(K$5=$C11,$F11,0)+IF(AND(K$5&gt;=$C11,$B11="Commercial"),$D11*$E11,0)</x:f>
        <x:v>0</x:v>
      </x:c>
      <x:c r="L11" s="108" t="n">
        <x:f>IF(L$5=$C11,$F11,0)+IF(AND(L$5&gt;=$C11,$B11="Commercial"),$D11*$E11,0)</x:f>
        <x:v>0</x:v>
      </x:c>
      <x:c r="M11" s="108" t="n">
        <x:f>IF(M$5=$C11,$F11,0)+IF(AND(M$5&gt;=$C11,$B11="Commercial"),$D11*$E11,0)</x:f>
        <x:v>0</x:v>
      </x:c>
      <x:c r="N11" s="108" t="n">
        <x:f>IF(N$5=$C11,$F11,0)+IF(AND(N$5&gt;=$C11,$B11="Commercial"),$D11*$E11,0)</x:f>
        <x:v>0</x:v>
      </x:c>
      <x:c r="O11" s="108" t="n">
        <x:f>IF(O$5=$C11,$F11,0)+IF(AND(O$5&gt;=$C11,$B11="Commercial"),$D11*$E11,0)</x:f>
        <x:v>0</x:v>
      </x:c>
      <x:c r="P11" s="108" t="n">
        <x:f>IF(P$5=$C11,$F11,0)+IF(AND(P$5&gt;=$C11,$B11="Commercial"),$D11*$E11,0)</x:f>
        <x:v>0</x:v>
      </x:c>
      <x:c r="Q11" s="108" t="n">
        <x:f>IF(Q$5=$C11,$F11,0)+IF(AND(Q$5&gt;=$C11,$B11="Commercial"),$D11*$E11,0)</x:f>
        <x:v>0</x:v>
      </x:c>
      <x:c r="R11" s="108" t="n">
        <x:f>IF(R$5=$C11,$F11,0)+IF(AND(R$5&gt;=$C11,$B11="Commercial"),$D11*$E11,0)</x:f>
        <x:v>0</x:v>
      </x:c>
      <x:c r="S11" s="108" t="n">
        <x:f>IF(S$5=$C11,$F11,0)+IF(AND(S$5&gt;=$C11,$B11="Commercial"),$D11*$E11,0)</x:f>
        <x:v>7250</x:v>
      </x:c>
      <x:c r="T11" s="108" t="n">
        <x:f>IF(T$5=$C11,$F11,0)+IF(AND(T$5&gt;=$C11,$B11="Commercial"),$D11*$E11,0)</x:f>
        <x:v>2250</x:v>
      </x:c>
      <x:c r="U11" s="108" t="n">
        <x:f>IF(U$5=$C11,$F11,0)+IF(AND(U$5&gt;=$C11,$B11="Commercial"),$D11*$E11,0)</x:f>
        <x:v>2250</x:v>
      </x:c>
      <x:c r="V11" s="108" t="n">
        <x:f>IF(V$5=$C11,$F11,0)+IF(AND(V$5&gt;=$C11,$B11="Commercial"),$D11*$E11,0)</x:f>
        <x:v>2250</x:v>
      </x:c>
      <x:c r="W11" s="108" t="n">
        <x:f>IF(W$5=$C11,$F11,0)+IF(AND(W$5&gt;=$C11,$B11="Commercial"),$D11*$E11,0)</x:f>
        <x:v>2250</x:v>
      </x:c>
      <x:c r="X11" s="108" t="n">
        <x:f>IF(X$5=$C11,$F11,0)+IF(AND(X$5&gt;=$C11,$B11="Commercial"),$D11*$E11,0)</x:f>
        <x:v>2250</x:v>
      </x:c>
      <x:c r="Y11" s="108" t="n">
        <x:f>IF(Y$5=$C11,$F11,0)+IF(AND(Y$5&gt;=$C11,$B11="Commercial"),$D11*$E11,0)</x:f>
        <x:v>2250</x:v>
      </x:c>
      <x:c r="Z11" s="108" t="n">
        <x:f>IF(Z$5=$C11,$F11,0)+IF(AND(Z$5&gt;=$C11,$B11="Commercial"),$D11*$E11,0)</x:f>
        <x:v>2250</x:v>
      </x:c>
      <x:c r="AA11" s="108" t="n">
        <x:f>IF(AA$5=$C11,$F11,0)+IF(AND(AA$5&gt;=$C11,$B11="Commercial"),$D11*$E11,0)</x:f>
        <x:v>2250</x:v>
      </x:c>
      <x:c r="AB11" s="108" t="n">
        <x:f>IF(AB$5=$C11,$F11,0)+IF(AND(AB$5&gt;=$C11,$B11="Commercial"),$D11*$E11,0)</x:f>
        <x:v>2250</x:v>
      </x:c>
      <x:c r="AC11" s="108" t="n">
        <x:f>IF(AC$5=$C11,$F11,0)+IF(AND(AC$5&gt;=$C11,$B11="Commercial"),$D11*$E11,0)</x:f>
        <x:v>2250</x:v>
      </x:c>
      <x:c r="AD11" s="108" t="n">
        <x:f>IF(AD$5=$C11,$F11,0)+IF(AND(AD$5&gt;=$C11,$B11="Commercial"),$D11*$E11,0)</x:f>
        <x:v>2250</x:v>
      </x:c>
      <x:c r="AE11" s="108" t="n">
        <x:f>IF(AE$5=$C11,$F11,0)+IF(AND(AE$5&gt;=$C11,$B11="Commercial"),$D11*$E11,0)</x:f>
        <x:v>2250</x:v>
      </x:c>
      <x:c r="AF11" s="108" t="n">
        <x:f>IF(AF$5=$C11,$F11,0)+IF(AND(AF$5&gt;=$C11,$B11="Commercial"),$D11*$E11,0)</x:f>
        <x:v>2250</x:v>
      </x:c>
      <x:c r="AG11" s="108" t="n">
        <x:f>IF(AG$5=$C11,$F11,0)+IF(AND(AG$5&gt;=$C11,$B11="Commercial"),$D11*$E11,0)</x:f>
        <x:v>2250</x:v>
      </x:c>
      <x:c r="AH11" s="108" t="n">
        <x:f>IF(AH$5=$C11,$F11,0)+IF(AND(AH$5&gt;=$C11,$B11="Commercial"),$D11*$E11,0)</x:f>
        <x:v>2250</x:v>
      </x:c>
      <x:c r="AI11" s="108" t="n">
        <x:f>IF(AI$5=$C11,$F11,0)+IF(AND(AI$5&gt;=$C11,$B11="Commercial"),$D11*$E11,0)</x:f>
        <x:v>2250</x:v>
      </x:c>
      <x:c r="AJ11" s="108" t="n">
        <x:f>IF(AJ$5=$C11,$F11,0)+IF(AND(AJ$5&gt;=$C11,$B11="Commercial"),$D11*$E11,0)</x:f>
        <x:v>2250</x:v>
      </x:c>
      <x:c r="AK11" s="108" t="n">
        <x:f>IF(AK$5=$C11,$F11,0)+IF(AND(AK$5&gt;=$C11,$B11="Commercial"),$D11*$E11,0)</x:f>
        <x:v>2250</x:v>
      </x:c>
      <x:c r="AL11" s="108" t="n">
        <x:f>IF(AL$5=$C11,$F11,0)+IF(AND(AL$5&gt;=$C11,$B11="Commercial"),$D11*$E11,0)</x:f>
        <x:v>2250</x:v>
      </x:c>
      <x:c r="AM11" s="108" t="n">
        <x:f>IF(AM$5=$C11,$F11,0)+IF(AND(AM$5&gt;=$C11,$B11="Commercial"),$D11*$E11,0)</x:f>
        <x:v>2250</x:v>
      </x:c>
      <x:c r="AN11" s="108" t="n">
        <x:f>IF(AN$5=$C11,$F11,0)+IF(AND(AN$5&gt;=$C11,$B11="Commercial"),$D11*$E11,0)</x:f>
        <x:v>2250</x:v>
      </x:c>
      <x:c r="AO11" s="108" t="n">
        <x:f>IF(AO$5=$C11,$F11,0)+IF(AND(AO$5&gt;=$C11,$B11="Commercial"),$D11*$E11,0)</x:f>
        <x:v>2250</x:v>
      </x:c>
      <x:c r="AP11" s="108" t="n">
        <x:f>IF(AP$5=$C11,$F11,0)+IF(AND(AP$5&gt;=$C11,$B11="Commercial"),$D11*$E11,0)</x:f>
        <x:v>2250</x:v>
      </x:c>
      <x:c r="AQ11" s="108" t="n">
        <x:f>IF(AQ$5=$C11,$F11,0)+IF(AND(AQ$5&gt;=$C11,$B11="Commercial"),$D11*$E11,0)</x:f>
        <x:v>2250</x:v>
      </x:c>
    </x:row>
    <x:row r="12">
      <x:c r="A12" s="98" t="str">
        <x:v>C-05</x:v>
      </x:c>
      <x:c r="B12" s="98" t="str">
        <x:v>Commercial</x:v>
      </x:c>
      <x:c r="C12" s="106" t="n">
        <x:v>14</x:v>
      </x:c>
      <x:c r="D12" s="106" t="n">
        <x:v>45</x:v>
      </x:c>
      <x:c r="E12" s="107" t="n">
        <x:v>69</x:v>
      </x:c>
      <x:c r="F12" s="107" t="n">
        <x:v>5000</x:v>
      </x:c>
      <x:c r="G12" s="98" t="str">
        <x:v>Post-PMF new customer</x:v>
      </x:c>
      <x:c r="H12" s="108" t="n">
        <x:f>IF(H$5=$C12,$F12,0)+IF(AND(H$5&gt;=$C12,$B12="Commercial"),$D12*$E12,0)</x:f>
        <x:v>0</x:v>
      </x:c>
      <x:c r="I12" s="108" t="n">
        <x:f>IF(I$5=$C12,$F12,0)+IF(AND(I$5&gt;=$C12,$B12="Commercial"),$D12*$E12,0)</x:f>
        <x:v>0</x:v>
      </x:c>
      <x:c r="J12" s="108" t="n">
        <x:f>IF(J$5=$C12,$F12,0)+IF(AND(J$5&gt;=$C12,$B12="Commercial"),$D12*$E12,0)</x:f>
        <x:v>0</x:v>
      </x:c>
      <x:c r="K12" s="108" t="n">
        <x:f>IF(K$5=$C12,$F12,0)+IF(AND(K$5&gt;=$C12,$B12="Commercial"),$D12*$E12,0)</x:f>
        <x:v>0</x:v>
      </x:c>
      <x:c r="L12" s="108" t="n">
        <x:f>IF(L$5=$C12,$F12,0)+IF(AND(L$5&gt;=$C12,$B12="Commercial"),$D12*$E12,0)</x:f>
        <x:v>0</x:v>
      </x:c>
      <x:c r="M12" s="108" t="n">
        <x:f>IF(M$5=$C12,$F12,0)+IF(AND(M$5&gt;=$C12,$B12="Commercial"),$D12*$E12,0)</x:f>
        <x:v>0</x:v>
      </x:c>
      <x:c r="N12" s="108" t="n">
        <x:f>IF(N$5=$C12,$F12,0)+IF(AND(N$5&gt;=$C12,$B12="Commercial"),$D12*$E12,0)</x:f>
        <x:v>0</x:v>
      </x:c>
      <x:c r="O12" s="108" t="n">
        <x:f>IF(O$5=$C12,$F12,0)+IF(AND(O$5&gt;=$C12,$B12="Commercial"),$D12*$E12,0)</x:f>
        <x:v>0</x:v>
      </x:c>
      <x:c r="P12" s="108" t="n">
        <x:f>IF(P$5=$C12,$F12,0)+IF(AND(P$5&gt;=$C12,$B12="Commercial"),$D12*$E12,0)</x:f>
        <x:v>0</x:v>
      </x:c>
      <x:c r="Q12" s="108" t="n">
        <x:f>IF(Q$5=$C12,$F12,0)+IF(AND(Q$5&gt;=$C12,$B12="Commercial"),$D12*$E12,0)</x:f>
        <x:v>0</x:v>
      </x:c>
      <x:c r="R12" s="108" t="n">
        <x:f>IF(R$5=$C12,$F12,0)+IF(AND(R$5&gt;=$C12,$B12="Commercial"),$D12*$E12,0)</x:f>
        <x:v>0</x:v>
      </x:c>
      <x:c r="S12" s="108" t="n">
        <x:f>IF(S$5=$C12,$F12,0)+IF(AND(S$5&gt;=$C12,$B12="Commercial"),$D12*$E12,0)</x:f>
        <x:v>0</x:v>
      </x:c>
      <x:c r="T12" s="108" t="n">
        <x:f>IF(T$5=$C12,$F12,0)+IF(AND(T$5&gt;=$C12,$B12="Commercial"),$D12*$E12,0)</x:f>
        <x:v>0</x:v>
      </x:c>
      <x:c r="U12" s="108" t="n">
        <x:f>IF(U$5=$C12,$F12,0)+IF(AND(U$5&gt;=$C12,$B12="Commercial"),$D12*$E12,0)</x:f>
        <x:v>8105</x:v>
      </x:c>
      <x:c r="V12" s="108" t="n">
        <x:f>IF(V$5=$C12,$F12,0)+IF(AND(V$5&gt;=$C12,$B12="Commercial"),$D12*$E12,0)</x:f>
        <x:v>3105</x:v>
      </x:c>
      <x:c r="W12" s="108" t="n">
        <x:f>IF(W$5=$C12,$F12,0)+IF(AND(W$5&gt;=$C12,$B12="Commercial"),$D12*$E12,0)</x:f>
        <x:v>3105</x:v>
      </x:c>
      <x:c r="X12" s="108" t="n">
        <x:f>IF(X$5=$C12,$F12,0)+IF(AND(X$5&gt;=$C12,$B12="Commercial"),$D12*$E12,0)</x:f>
        <x:v>3105</x:v>
      </x:c>
      <x:c r="Y12" s="108" t="n">
        <x:f>IF(Y$5=$C12,$F12,0)+IF(AND(Y$5&gt;=$C12,$B12="Commercial"),$D12*$E12,0)</x:f>
        <x:v>3105</x:v>
      </x:c>
      <x:c r="Z12" s="108" t="n">
        <x:f>IF(Z$5=$C12,$F12,0)+IF(AND(Z$5&gt;=$C12,$B12="Commercial"),$D12*$E12,0)</x:f>
        <x:v>3105</x:v>
      </x:c>
      <x:c r="AA12" s="108" t="n">
        <x:f>IF(AA$5=$C12,$F12,0)+IF(AND(AA$5&gt;=$C12,$B12="Commercial"),$D12*$E12,0)</x:f>
        <x:v>3105</x:v>
      </x:c>
      <x:c r="AB12" s="108" t="n">
        <x:f>IF(AB$5=$C12,$F12,0)+IF(AND(AB$5&gt;=$C12,$B12="Commercial"),$D12*$E12,0)</x:f>
        <x:v>3105</x:v>
      </x:c>
      <x:c r="AC12" s="108" t="n">
        <x:f>IF(AC$5=$C12,$F12,0)+IF(AND(AC$5&gt;=$C12,$B12="Commercial"),$D12*$E12,0)</x:f>
        <x:v>3105</x:v>
      </x:c>
      <x:c r="AD12" s="108" t="n">
        <x:f>IF(AD$5=$C12,$F12,0)+IF(AND(AD$5&gt;=$C12,$B12="Commercial"),$D12*$E12,0)</x:f>
        <x:v>3105</x:v>
      </x:c>
      <x:c r="AE12" s="108" t="n">
        <x:f>IF(AE$5=$C12,$F12,0)+IF(AND(AE$5&gt;=$C12,$B12="Commercial"),$D12*$E12,0)</x:f>
        <x:v>3105</x:v>
      </x:c>
      <x:c r="AF12" s="108" t="n">
        <x:f>IF(AF$5=$C12,$F12,0)+IF(AND(AF$5&gt;=$C12,$B12="Commercial"),$D12*$E12,0)</x:f>
        <x:v>3105</x:v>
      </x:c>
      <x:c r="AG12" s="108" t="n">
        <x:f>IF(AG$5=$C12,$F12,0)+IF(AND(AG$5&gt;=$C12,$B12="Commercial"),$D12*$E12,0)</x:f>
        <x:v>3105</x:v>
      </x:c>
      <x:c r="AH12" s="108" t="n">
        <x:f>IF(AH$5=$C12,$F12,0)+IF(AND(AH$5&gt;=$C12,$B12="Commercial"),$D12*$E12,0)</x:f>
        <x:v>3105</x:v>
      </x:c>
      <x:c r="AI12" s="108" t="n">
        <x:f>IF(AI$5=$C12,$F12,0)+IF(AND(AI$5&gt;=$C12,$B12="Commercial"),$D12*$E12,0)</x:f>
        <x:v>3105</x:v>
      </x:c>
      <x:c r="AJ12" s="108" t="n">
        <x:f>IF(AJ$5=$C12,$F12,0)+IF(AND(AJ$5&gt;=$C12,$B12="Commercial"),$D12*$E12,0)</x:f>
        <x:v>3105</x:v>
      </x:c>
      <x:c r="AK12" s="108" t="n">
        <x:f>IF(AK$5=$C12,$F12,0)+IF(AND(AK$5&gt;=$C12,$B12="Commercial"),$D12*$E12,0)</x:f>
        <x:v>3105</x:v>
      </x:c>
      <x:c r="AL12" s="108" t="n">
        <x:f>IF(AL$5=$C12,$F12,0)+IF(AND(AL$5&gt;=$C12,$B12="Commercial"),$D12*$E12,0)</x:f>
        <x:v>3105</x:v>
      </x:c>
      <x:c r="AM12" s="108" t="n">
        <x:f>IF(AM$5=$C12,$F12,0)+IF(AND(AM$5&gt;=$C12,$B12="Commercial"),$D12*$E12,0)</x:f>
        <x:v>3105</x:v>
      </x:c>
      <x:c r="AN12" s="108" t="n">
        <x:f>IF(AN$5=$C12,$F12,0)+IF(AND(AN$5&gt;=$C12,$B12="Commercial"),$D12*$E12,0)</x:f>
        <x:v>3105</x:v>
      </x:c>
      <x:c r="AO12" s="108" t="n">
        <x:f>IF(AO$5=$C12,$F12,0)+IF(AND(AO$5&gt;=$C12,$B12="Commercial"),$D12*$E12,0)</x:f>
        <x:v>3105</x:v>
      </x:c>
      <x:c r="AP12" s="108" t="n">
        <x:f>IF(AP$5=$C12,$F12,0)+IF(AND(AP$5&gt;=$C12,$B12="Commercial"),$D12*$E12,0)</x:f>
        <x:v>3105</x:v>
      </x:c>
      <x:c r="AQ12" s="108" t="n">
        <x:f>IF(AQ$5=$C12,$F12,0)+IF(AND(AQ$5&gt;=$C12,$B12="Commercial"),$D12*$E12,0)</x:f>
        <x:v>3105</x:v>
      </x:c>
    </x:row>
    <x:row r="13">
      <x:c r="A13" s="98" t="str">
        <x:v>C-06</x:v>
      </x:c>
      <x:c r="B13" s="98" t="str">
        <x:v>Commercial</x:v>
      </x:c>
      <x:c r="C13" s="106" t="n">
        <x:v>15</x:v>
      </x:c>
      <x:c r="D13" s="106" t="n">
        <x:v>45</x:v>
      </x:c>
      <x:c r="E13" s="107" t="n">
        <x:v>69</x:v>
      </x:c>
      <x:c r="F13" s="107" t="n">
        <x:v>5000</x:v>
      </x:c>
      <x:c r="G13" s="98" t="str">
        <x:v>Post-PMF new customer</x:v>
      </x:c>
      <x:c r="H13" s="108" t="n">
        <x:f>IF(H$5=$C13,$F13,0)+IF(AND(H$5&gt;=$C13,$B13="Commercial"),$D13*$E13,0)</x:f>
        <x:v>0</x:v>
      </x:c>
      <x:c r="I13" s="108" t="n">
        <x:f>IF(I$5=$C13,$F13,0)+IF(AND(I$5&gt;=$C13,$B13="Commercial"),$D13*$E13,0)</x:f>
        <x:v>0</x:v>
      </x:c>
      <x:c r="J13" s="108" t="n">
        <x:f>IF(J$5=$C13,$F13,0)+IF(AND(J$5&gt;=$C13,$B13="Commercial"),$D13*$E13,0)</x:f>
        <x:v>0</x:v>
      </x:c>
      <x:c r="K13" s="108" t="n">
        <x:f>IF(K$5=$C13,$F13,0)+IF(AND(K$5&gt;=$C13,$B13="Commercial"),$D13*$E13,0)</x:f>
        <x:v>0</x:v>
      </x:c>
      <x:c r="L13" s="108" t="n">
        <x:f>IF(L$5=$C13,$F13,0)+IF(AND(L$5&gt;=$C13,$B13="Commercial"),$D13*$E13,0)</x:f>
        <x:v>0</x:v>
      </x:c>
      <x:c r="M13" s="108" t="n">
        <x:f>IF(M$5=$C13,$F13,0)+IF(AND(M$5&gt;=$C13,$B13="Commercial"),$D13*$E13,0)</x:f>
        <x:v>0</x:v>
      </x:c>
      <x:c r="N13" s="108" t="n">
        <x:f>IF(N$5=$C13,$F13,0)+IF(AND(N$5&gt;=$C13,$B13="Commercial"),$D13*$E13,0)</x:f>
        <x:v>0</x:v>
      </x:c>
      <x:c r="O13" s="108" t="n">
        <x:f>IF(O$5=$C13,$F13,0)+IF(AND(O$5&gt;=$C13,$B13="Commercial"),$D13*$E13,0)</x:f>
        <x:v>0</x:v>
      </x:c>
      <x:c r="P13" s="108" t="n">
        <x:f>IF(P$5=$C13,$F13,0)+IF(AND(P$5&gt;=$C13,$B13="Commercial"),$D13*$E13,0)</x:f>
        <x:v>0</x:v>
      </x:c>
      <x:c r="Q13" s="108" t="n">
        <x:f>IF(Q$5=$C13,$F13,0)+IF(AND(Q$5&gt;=$C13,$B13="Commercial"),$D13*$E13,0)</x:f>
        <x:v>0</x:v>
      </x:c>
      <x:c r="R13" s="108" t="n">
        <x:f>IF(R$5=$C13,$F13,0)+IF(AND(R$5&gt;=$C13,$B13="Commercial"),$D13*$E13,0)</x:f>
        <x:v>0</x:v>
      </x:c>
      <x:c r="S13" s="108" t="n">
        <x:f>IF(S$5=$C13,$F13,0)+IF(AND(S$5&gt;=$C13,$B13="Commercial"),$D13*$E13,0)</x:f>
        <x:v>0</x:v>
      </x:c>
      <x:c r="T13" s="108" t="n">
        <x:f>IF(T$5=$C13,$F13,0)+IF(AND(T$5&gt;=$C13,$B13="Commercial"),$D13*$E13,0)</x:f>
        <x:v>0</x:v>
      </x:c>
      <x:c r="U13" s="108" t="n">
        <x:f>IF(U$5=$C13,$F13,0)+IF(AND(U$5&gt;=$C13,$B13="Commercial"),$D13*$E13,0)</x:f>
        <x:v>0</x:v>
      </x:c>
      <x:c r="V13" s="108" t="n">
        <x:f>IF(V$5=$C13,$F13,0)+IF(AND(V$5&gt;=$C13,$B13="Commercial"),$D13*$E13,0)</x:f>
        <x:v>8105</x:v>
      </x:c>
      <x:c r="W13" s="108" t="n">
        <x:f>IF(W$5=$C13,$F13,0)+IF(AND(W$5&gt;=$C13,$B13="Commercial"),$D13*$E13,0)</x:f>
        <x:v>3105</x:v>
      </x:c>
      <x:c r="X13" s="108" t="n">
        <x:f>IF(X$5=$C13,$F13,0)+IF(AND(X$5&gt;=$C13,$B13="Commercial"),$D13*$E13,0)</x:f>
        <x:v>3105</x:v>
      </x:c>
      <x:c r="Y13" s="108" t="n">
        <x:f>IF(Y$5=$C13,$F13,0)+IF(AND(Y$5&gt;=$C13,$B13="Commercial"),$D13*$E13,0)</x:f>
        <x:v>3105</x:v>
      </x:c>
      <x:c r="Z13" s="108" t="n">
        <x:f>IF(Z$5=$C13,$F13,0)+IF(AND(Z$5&gt;=$C13,$B13="Commercial"),$D13*$E13,0)</x:f>
        <x:v>3105</x:v>
      </x:c>
      <x:c r="AA13" s="108" t="n">
        <x:f>IF(AA$5=$C13,$F13,0)+IF(AND(AA$5&gt;=$C13,$B13="Commercial"),$D13*$E13,0)</x:f>
        <x:v>3105</x:v>
      </x:c>
      <x:c r="AB13" s="108" t="n">
        <x:f>IF(AB$5=$C13,$F13,0)+IF(AND(AB$5&gt;=$C13,$B13="Commercial"),$D13*$E13,0)</x:f>
        <x:v>3105</x:v>
      </x:c>
      <x:c r="AC13" s="108" t="n">
        <x:f>IF(AC$5=$C13,$F13,0)+IF(AND(AC$5&gt;=$C13,$B13="Commercial"),$D13*$E13,0)</x:f>
        <x:v>3105</x:v>
      </x:c>
      <x:c r="AD13" s="108" t="n">
        <x:f>IF(AD$5=$C13,$F13,0)+IF(AND(AD$5&gt;=$C13,$B13="Commercial"),$D13*$E13,0)</x:f>
        <x:v>3105</x:v>
      </x:c>
      <x:c r="AE13" s="108" t="n">
        <x:f>IF(AE$5=$C13,$F13,0)+IF(AND(AE$5&gt;=$C13,$B13="Commercial"),$D13*$E13,0)</x:f>
        <x:v>3105</x:v>
      </x:c>
      <x:c r="AF13" s="108" t="n">
        <x:f>IF(AF$5=$C13,$F13,0)+IF(AND(AF$5&gt;=$C13,$B13="Commercial"),$D13*$E13,0)</x:f>
        <x:v>3105</x:v>
      </x:c>
      <x:c r="AG13" s="108" t="n">
        <x:f>IF(AG$5=$C13,$F13,0)+IF(AND(AG$5&gt;=$C13,$B13="Commercial"),$D13*$E13,0)</x:f>
        <x:v>3105</x:v>
      </x:c>
      <x:c r="AH13" s="108" t="n">
        <x:f>IF(AH$5=$C13,$F13,0)+IF(AND(AH$5&gt;=$C13,$B13="Commercial"),$D13*$E13,0)</x:f>
        <x:v>3105</x:v>
      </x:c>
      <x:c r="AI13" s="108" t="n">
        <x:f>IF(AI$5=$C13,$F13,0)+IF(AND(AI$5&gt;=$C13,$B13="Commercial"),$D13*$E13,0)</x:f>
        <x:v>3105</x:v>
      </x:c>
      <x:c r="AJ13" s="108" t="n">
        <x:f>IF(AJ$5=$C13,$F13,0)+IF(AND(AJ$5&gt;=$C13,$B13="Commercial"),$D13*$E13,0)</x:f>
        <x:v>3105</x:v>
      </x:c>
      <x:c r="AK13" s="108" t="n">
        <x:f>IF(AK$5=$C13,$F13,0)+IF(AND(AK$5&gt;=$C13,$B13="Commercial"),$D13*$E13,0)</x:f>
        <x:v>3105</x:v>
      </x:c>
      <x:c r="AL13" s="108" t="n">
        <x:f>IF(AL$5=$C13,$F13,0)+IF(AND(AL$5&gt;=$C13,$B13="Commercial"),$D13*$E13,0)</x:f>
        <x:v>3105</x:v>
      </x:c>
      <x:c r="AM13" s="108" t="n">
        <x:f>IF(AM$5=$C13,$F13,0)+IF(AND(AM$5&gt;=$C13,$B13="Commercial"),$D13*$E13,0)</x:f>
        <x:v>3105</x:v>
      </x:c>
      <x:c r="AN13" s="108" t="n">
        <x:f>IF(AN$5=$C13,$F13,0)+IF(AND(AN$5&gt;=$C13,$B13="Commercial"),$D13*$E13,0)</x:f>
        <x:v>3105</x:v>
      </x:c>
      <x:c r="AO13" s="108" t="n">
        <x:f>IF(AO$5=$C13,$F13,0)+IF(AND(AO$5&gt;=$C13,$B13="Commercial"),$D13*$E13,0)</x:f>
        <x:v>3105</x:v>
      </x:c>
      <x:c r="AP13" s="108" t="n">
        <x:f>IF(AP$5=$C13,$F13,0)+IF(AND(AP$5&gt;=$C13,$B13="Commercial"),$D13*$E13,0)</x:f>
        <x:v>3105</x:v>
      </x:c>
      <x:c r="AQ13" s="108" t="n">
        <x:f>IF(AQ$5=$C13,$F13,0)+IF(AND(AQ$5&gt;=$C13,$B13="Commercial"),$D13*$E13,0)</x:f>
        <x:v>3105</x:v>
      </x:c>
    </x:row>
    <x:row r="14">
      <x:c r="A14" s="98" t="str">
        <x:v>C-07</x:v>
      </x:c>
      <x:c r="B14" s="98" t="str">
        <x:v>Commercial</x:v>
      </x:c>
      <x:c r="C14" s="106" t="n">
        <x:v>17</x:v>
      </x:c>
      <x:c r="D14" s="106" t="n">
        <x:v>45</x:v>
      </x:c>
      <x:c r="E14" s="107" t="n">
        <x:v>69</x:v>
      </x:c>
      <x:c r="F14" s="107" t="n">
        <x:v>5000</x:v>
      </x:c>
      <x:c r="G14" s="98" t="str">
        <x:v>Post-PMF new customer</x:v>
      </x:c>
      <x:c r="H14" s="108" t="n">
        <x:f>IF(H$5=$C14,$F14,0)+IF(AND(H$5&gt;=$C14,$B14="Commercial"),$D14*$E14,0)</x:f>
        <x:v>0</x:v>
      </x:c>
      <x:c r="I14" s="108" t="n">
        <x:f>IF(I$5=$C14,$F14,0)+IF(AND(I$5&gt;=$C14,$B14="Commercial"),$D14*$E14,0)</x:f>
        <x:v>0</x:v>
      </x:c>
      <x:c r="J14" s="108" t="n">
        <x:f>IF(J$5=$C14,$F14,0)+IF(AND(J$5&gt;=$C14,$B14="Commercial"),$D14*$E14,0)</x:f>
        <x:v>0</x:v>
      </x:c>
      <x:c r="K14" s="108" t="n">
        <x:f>IF(K$5=$C14,$F14,0)+IF(AND(K$5&gt;=$C14,$B14="Commercial"),$D14*$E14,0)</x:f>
        <x:v>0</x:v>
      </x:c>
      <x:c r="L14" s="108" t="n">
        <x:f>IF(L$5=$C14,$F14,0)+IF(AND(L$5&gt;=$C14,$B14="Commercial"),$D14*$E14,0)</x:f>
        <x:v>0</x:v>
      </x:c>
      <x:c r="M14" s="108" t="n">
        <x:f>IF(M$5=$C14,$F14,0)+IF(AND(M$5&gt;=$C14,$B14="Commercial"),$D14*$E14,0)</x:f>
        <x:v>0</x:v>
      </x:c>
      <x:c r="N14" s="108" t="n">
        <x:f>IF(N$5=$C14,$F14,0)+IF(AND(N$5&gt;=$C14,$B14="Commercial"),$D14*$E14,0)</x:f>
        <x:v>0</x:v>
      </x:c>
      <x:c r="O14" s="108" t="n">
        <x:f>IF(O$5=$C14,$F14,0)+IF(AND(O$5&gt;=$C14,$B14="Commercial"),$D14*$E14,0)</x:f>
        <x:v>0</x:v>
      </x:c>
      <x:c r="P14" s="108" t="n">
        <x:f>IF(P$5=$C14,$F14,0)+IF(AND(P$5&gt;=$C14,$B14="Commercial"),$D14*$E14,0)</x:f>
        <x:v>0</x:v>
      </x:c>
      <x:c r="Q14" s="108" t="n">
        <x:f>IF(Q$5=$C14,$F14,0)+IF(AND(Q$5&gt;=$C14,$B14="Commercial"),$D14*$E14,0)</x:f>
        <x:v>0</x:v>
      </x:c>
      <x:c r="R14" s="108" t="n">
        <x:f>IF(R$5=$C14,$F14,0)+IF(AND(R$5&gt;=$C14,$B14="Commercial"),$D14*$E14,0)</x:f>
        <x:v>0</x:v>
      </x:c>
      <x:c r="S14" s="108" t="n">
        <x:f>IF(S$5=$C14,$F14,0)+IF(AND(S$5&gt;=$C14,$B14="Commercial"),$D14*$E14,0)</x:f>
        <x:v>0</x:v>
      </x:c>
      <x:c r="T14" s="108" t="n">
        <x:f>IF(T$5=$C14,$F14,0)+IF(AND(T$5&gt;=$C14,$B14="Commercial"),$D14*$E14,0)</x:f>
        <x:v>0</x:v>
      </x:c>
      <x:c r="U14" s="108" t="n">
        <x:f>IF(U$5=$C14,$F14,0)+IF(AND(U$5&gt;=$C14,$B14="Commercial"),$D14*$E14,0)</x:f>
        <x:v>0</x:v>
      </x:c>
      <x:c r="V14" s="108" t="n">
        <x:f>IF(V$5=$C14,$F14,0)+IF(AND(V$5&gt;=$C14,$B14="Commercial"),$D14*$E14,0)</x:f>
        <x:v>0</x:v>
      </x:c>
      <x:c r="W14" s="108" t="n">
        <x:f>IF(W$5=$C14,$F14,0)+IF(AND(W$5&gt;=$C14,$B14="Commercial"),$D14*$E14,0)</x:f>
        <x:v>0</x:v>
      </x:c>
      <x:c r="X14" s="108" t="n">
        <x:f>IF(X$5=$C14,$F14,0)+IF(AND(X$5&gt;=$C14,$B14="Commercial"),$D14*$E14,0)</x:f>
        <x:v>8105</x:v>
      </x:c>
      <x:c r="Y14" s="108" t="n">
        <x:f>IF(Y$5=$C14,$F14,0)+IF(AND(Y$5&gt;=$C14,$B14="Commercial"),$D14*$E14,0)</x:f>
        <x:v>3105</x:v>
      </x:c>
      <x:c r="Z14" s="108" t="n">
        <x:f>IF(Z$5=$C14,$F14,0)+IF(AND(Z$5&gt;=$C14,$B14="Commercial"),$D14*$E14,0)</x:f>
        <x:v>3105</x:v>
      </x:c>
      <x:c r="AA14" s="108" t="n">
        <x:f>IF(AA$5=$C14,$F14,0)+IF(AND(AA$5&gt;=$C14,$B14="Commercial"),$D14*$E14,0)</x:f>
        <x:v>3105</x:v>
      </x:c>
      <x:c r="AB14" s="108" t="n">
        <x:f>IF(AB$5=$C14,$F14,0)+IF(AND(AB$5&gt;=$C14,$B14="Commercial"),$D14*$E14,0)</x:f>
        <x:v>3105</x:v>
      </x:c>
      <x:c r="AC14" s="108" t="n">
        <x:f>IF(AC$5=$C14,$F14,0)+IF(AND(AC$5&gt;=$C14,$B14="Commercial"),$D14*$E14,0)</x:f>
        <x:v>3105</x:v>
      </x:c>
      <x:c r="AD14" s="108" t="n">
        <x:f>IF(AD$5=$C14,$F14,0)+IF(AND(AD$5&gt;=$C14,$B14="Commercial"),$D14*$E14,0)</x:f>
        <x:v>3105</x:v>
      </x:c>
      <x:c r="AE14" s="108" t="n">
        <x:f>IF(AE$5=$C14,$F14,0)+IF(AND(AE$5&gt;=$C14,$B14="Commercial"),$D14*$E14,0)</x:f>
        <x:v>3105</x:v>
      </x:c>
      <x:c r="AF14" s="108" t="n">
        <x:f>IF(AF$5=$C14,$F14,0)+IF(AND(AF$5&gt;=$C14,$B14="Commercial"),$D14*$E14,0)</x:f>
        <x:v>3105</x:v>
      </x:c>
      <x:c r="AG14" s="108" t="n">
        <x:f>IF(AG$5=$C14,$F14,0)+IF(AND(AG$5&gt;=$C14,$B14="Commercial"),$D14*$E14,0)</x:f>
        <x:v>3105</x:v>
      </x:c>
      <x:c r="AH14" s="108" t="n">
        <x:f>IF(AH$5=$C14,$F14,0)+IF(AND(AH$5&gt;=$C14,$B14="Commercial"),$D14*$E14,0)</x:f>
        <x:v>3105</x:v>
      </x:c>
      <x:c r="AI14" s="108" t="n">
        <x:f>IF(AI$5=$C14,$F14,0)+IF(AND(AI$5&gt;=$C14,$B14="Commercial"),$D14*$E14,0)</x:f>
        <x:v>3105</x:v>
      </x:c>
      <x:c r="AJ14" s="108" t="n">
        <x:f>IF(AJ$5=$C14,$F14,0)+IF(AND(AJ$5&gt;=$C14,$B14="Commercial"),$D14*$E14,0)</x:f>
        <x:v>3105</x:v>
      </x:c>
      <x:c r="AK14" s="108" t="n">
        <x:f>IF(AK$5=$C14,$F14,0)+IF(AND(AK$5&gt;=$C14,$B14="Commercial"),$D14*$E14,0)</x:f>
        <x:v>3105</x:v>
      </x:c>
      <x:c r="AL14" s="108" t="n">
        <x:f>IF(AL$5=$C14,$F14,0)+IF(AND(AL$5&gt;=$C14,$B14="Commercial"),$D14*$E14,0)</x:f>
        <x:v>3105</x:v>
      </x:c>
      <x:c r="AM14" s="108" t="n">
        <x:f>IF(AM$5=$C14,$F14,0)+IF(AND(AM$5&gt;=$C14,$B14="Commercial"),$D14*$E14,0)</x:f>
        <x:v>3105</x:v>
      </x:c>
      <x:c r="AN14" s="108" t="n">
        <x:f>IF(AN$5=$C14,$F14,0)+IF(AND(AN$5&gt;=$C14,$B14="Commercial"),$D14*$E14,0)</x:f>
        <x:v>3105</x:v>
      </x:c>
      <x:c r="AO14" s="108" t="n">
        <x:f>IF(AO$5=$C14,$F14,0)+IF(AND(AO$5&gt;=$C14,$B14="Commercial"),$D14*$E14,0)</x:f>
        <x:v>3105</x:v>
      </x:c>
      <x:c r="AP14" s="108" t="n">
        <x:f>IF(AP$5=$C14,$F14,0)+IF(AND(AP$5&gt;=$C14,$B14="Commercial"),$D14*$E14,0)</x:f>
        <x:v>3105</x:v>
      </x:c>
      <x:c r="AQ14" s="108" t="n">
        <x:f>IF(AQ$5=$C14,$F14,0)+IF(AND(AQ$5&gt;=$C14,$B14="Commercial"),$D14*$E14,0)</x:f>
        <x:v>3105</x:v>
      </x:c>
    </x:row>
    <x:row r="15">
      <x:c r="A15" s="98" t="str">
        <x:v>C-08</x:v>
      </x:c>
      <x:c r="B15" s="98" t="str">
        <x:v>Commercial</x:v>
      </x:c>
      <x:c r="C15" s="106" t="n">
        <x:v>18</x:v>
      </x:c>
      <x:c r="D15" s="106" t="n">
        <x:v>45</x:v>
      </x:c>
      <x:c r="E15" s="107" t="n">
        <x:v>69</x:v>
      </x:c>
      <x:c r="F15" s="107" t="n">
        <x:v>5000</x:v>
      </x:c>
      <x:c r="G15" s="98" t="str">
        <x:v>Post-PMF new customer</x:v>
      </x:c>
      <x:c r="H15" s="108" t="n">
        <x:f>IF(H$5=$C15,$F15,0)+IF(AND(H$5&gt;=$C15,$B15="Commercial"),$D15*$E15,0)</x:f>
        <x:v>0</x:v>
      </x:c>
      <x:c r="I15" s="108" t="n">
        <x:f>IF(I$5=$C15,$F15,0)+IF(AND(I$5&gt;=$C15,$B15="Commercial"),$D15*$E15,0)</x:f>
        <x:v>0</x:v>
      </x:c>
      <x:c r="J15" s="108" t="n">
        <x:f>IF(J$5=$C15,$F15,0)+IF(AND(J$5&gt;=$C15,$B15="Commercial"),$D15*$E15,0)</x:f>
        <x:v>0</x:v>
      </x:c>
      <x:c r="K15" s="108" t="n">
        <x:f>IF(K$5=$C15,$F15,0)+IF(AND(K$5&gt;=$C15,$B15="Commercial"),$D15*$E15,0)</x:f>
        <x:v>0</x:v>
      </x:c>
      <x:c r="L15" s="108" t="n">
        <x:f>IF(L$5=$C15,$F15,0)+IF(AND(L$5&gt;=$C15,$B15="Commercial"),$D15*$E15,0)</x:f>
        <x:v>0</x:v>
      </x:c>
      <x:c r="M15" s="108" t="n">
        <x:f>IF(M$5=$C15,$F15,0)+IF(AND(M$5&gt;=$C15,$B15="Commercial"),$D15*$E15,0)</x:f>
        <x:v>0</x:v>
      </x:c>
      <x:c r="N15" s="108" t="n">
        <x:f>IF(N$5=$C15,$F15,0)+IF(AND(N$5&gt;=$C15,$B15="Commercial"),$D15*$E15,0)</x:f>
        <x:v>0</x:v>
      </x:c>
      <x:c r="O15" s="108" t="n">
        <x:f>IF(O$5=$C15,$F15,0)+IF(AND(O$5&gt;=$C15,$B15="Commercial"),$D15*$E15,0)</x:f>
        <x:v>0</x:v>
      </x:c>
      <x:c r="P15" s="108" t="n">
        <x:f>IF(P$5=$C15,$F15,0)+IF(AND(P$5&gt;=$C15,$B15="Commercial"),$D15*$E15,0)</x:f>
        <x:v>0</x:v>
      </x:c>
      <x:c r="Q15" s="108" t="n">
        <x:f>IF(Q$5=$C15,$F15,0)+IF(AND(Q$5&gt;=$C15,$B15="Commercial"),$D15*$E15,0)</x:f>
        <x:v>0</x:v>
      </x:c>
      <x:c r="R15" s="108" t="n">
        <x:f>IF(R$5=$C15,$F15,0)+IF(AND(R$5&gt;=$C15,$B15="Commercial"),$D15*$E15,0)</x:f>
        <x:v>0</x:v>
      </x:c>
      <x:c r="S15" s="108" t="n">
        <x:f>IF(S$5=$C15,$F15,0)+IF(AND(S$5&gt;=$C15,$B15="Commercial"),$D15*$E15,0)</x:f>
        <x:v>0</x:v>
      </x:c>
      <x:c r="T15" s="108" t="n">
        <x:f>IF(T$5=$C15,$F15,0)+IF(AND(T$5&gt;=$C15,$B15="Commercial"),$D15*$E15,0)</x:f>
        <x:v>0</x:v>
      </x:c>
      <x:c r="U15" s="108" t="n">
        <x:f>IF(U$5=$C15,$F15,0)+IF(AND(U$5&gt;=$C15,$B15="Commercial"),$D15*$E15,0)</x:f>
        <x:v>0</x:v>
      </x:c>
      <x:c r="V15" s="108" t="n">
        <x:f>IF(V$5=$C15,$F15,0)+IF(AND(V$5&gt;=$C15,$B15="Commercial"),$D15*$E15,0)</x:f>
        <x:v>0</x:v>
      </x:c>
      <x:c r="W15" s="108" t="n">
        <x:f>IF(W$5=$C15,$F15,0)+IF(AND(W$5&gt;=$C15,$B15="Commercial"),$D15*$E15,0)</x:f>
        <x:v>0</x:v>
      </x:c>
      <x:c r="X15" s="108" t="n">
        <x:f>IF(X$5=$C15,$F15,0)+IF(AND(X$5&gt;=$C15,$B15="Commercial"),$D15*$E15,0)</x:f>
        <x:v>0</x:v>
      </x:c>
      <x:c r="Y15" s="108" t="n">
        <x:f>IF(Y$5=$C15,$F15,0)+IF(AND(Y$5&gt;=$C15,$B15="Commercial"),$D15*$E15,0)</x:f>
        <x:v>8105</x:v>
      </x:c>
      <x:c r="Z15" s="108" t="n">
        <x:f>IF(Z$5=$C15,$F15,0)+IF(AND(Z$5&gt;=$C15,$B15="Commercial"),$D15*$E15,0)</x:f>
        <x:v>3105</x:v>
      </x:c>
      <x:c r="AA15" s="108" t="n">
        <x:f>IF(AA$5=$C15,$F15,0)+IF(AND(AA$5&gt;=$C15,$B15="Commercial"),$D15*$E15,0)</x:f>
        <x:v>3105</x:v>
      </x:c>
      <x:c r="AB15" s="108" t="n">
        <x:f>IF(AB$5=$C15,$F15,0)+IF(AND(AB$5&gt;=$C15,$B15="Commercial"),$D15*$E15,0)</x:f>
        <x:v>3105</x:v>
      </x:c>
      <x:c r="AC15" s="108" t="n">
        <x:f>IF(AC$5=$C15,$F15,0)+IF(AND(AC$5&gt;=$C15,$B15="Commercial"),$D15*$E15,0)</x:f>
        <x:v>3105</x:v>
      </x:c>
      <x:c r="AD15" s="108" t="n">
        <x:f>IF(AD$5=$C15,$F15,0)+IF(AND(AD$5&gt;=$C15,$B15="Commercial"),$D15*$E15,0)</x:f>
        <x:v>3105</x:v>
      </x:c>
      <x:c r="AE15" s="108" t="n">
        <x:f>IF(AE$5=$C15,$F15,0)+IF(AND(AE$5&gt;=$C15,$B15="Commercial"),$D15*$E15,0)</x:f>
        <x:v>3105</x:v>
      </x:c>
      <x:c r="AF15" s="108" t="n">
        <x:f>IF(AF$5=$C15,$F15,0)+IF(AND(AF$5&gt;=$C15,$B15="Commercial"),$D15*$E15,0)</x:f>
        <x:v>3105</x:v>
      </x:c>
      <x:c r="AG15" s="108" t="n">
        <x:f>IF(AG$5=$C15,$F15,0)+IF(AND(AG$5&gt;=$C15,$B15="Commercial"),$D15*$E15,0)</x:f>
        <x:v>3105</x:v>
      </x:c>
      <x:c r="AH15" s="108" t="n">
        <x:f>IF(AH$5=$C15,$F15,0)+IF(AND(AH$5&gt;=$C15,$B15="Commercial"),$D15*$E15,0)</x:f>
        <x:v>3105</x:v>
      </x:c>
      <x:c r="AI15" s="108" t="n">
        <x:f>IF(AI$5=$C15,$F15,0)+IF(AND(AI$5&gt;=$C15,$B15="Commercial"),$D15*$E15,0)</x:f>
        <x:v>3105</x:v>
      </x:c>
      <x:c r="AJ15" s="108" t="n">
        <x:f>IF(AJ$5=$C15,$F15,0)+IF(AND(AJ$5&gt;=$C15,$B15="Commercial"),$D15*$E15,0)</x:f>
        <x:v>3105</x:v>
      </x:c>
      <x:c r="AK15" s="108" t="n">
        <x:f>IF(AK$5=$C15,$F15,0)+IF(AND(AK$5&gt;=$C15,$B15="Commercial"),$D15*$E15,0)</x:f>
        <x:v>3105</x:v>
      </x:c>
      <x:c r="AL15" s="108" t="n">
        <x:f>IF(AL$5=$C15,$F15,0)+IF(AND(AL$5&gt;=$C15,$B15="Commercial"),$D15*$E15,0)</x:f>
        <x:v>3105</x:v>
      </x:c>
      <x:c r="AM15" s="108" t="n">
        <x:f>IF(AM$5=$C15,$F15,0)+IF(AND(AM$5&gt;=$C15,$B15="Commercial"),$D15*$E15,0)</x:f>
        <x:v>3105</x:v>
      </x:c>
      <x:c r="AN15" s="108" t="n">
        <x:f>IF(AN$5=$C15,$F15,0)+IF(AND(AN$5&gt;=$C15,$B15="Commercial"),$D15*$E15,0)</x:f>
        <x:v>3105</x:v>
      </x:c>
      <x:c r="AO15" s="108" t="n">
        <x:f>IF(AO$5=$C15,$F15,0)+IF(AND(AO$5&gt;=$C15,$B15="Commercial"),$D15*$E15,0)</x:f>
        <x:v>3105</x:v>
      </x:c>
      <x:c r="AP15" s="108" t="n">
        <x:f>IF(AP$5=$C15,$F15,0)+IF(AND(AP$5&gt;=$C15,$B15="Commercial"),$D15*$E15,0)</x:f>
        <x:v>3105</x:v>
      </x:c>
      <x:c r="AQ15" s="108" t="n">
        <x:f>IF(AQ$5=$C15,$F15,0)+IF(AND(AQ$5&gt;=$C15,$B15="Commercial"),$D15*$E15,0)</x:f>
        <x:v>3105</x:v>
      </x:c>
    </x:row>
    <x:row r="16">
      <x:c r="A16" s="98" t="str">
        <x:v>C-09</x:v>
      </x:c>
      <x:c r="B16" s="98" t="str">
        <x:v>Commercial</x:v>
      </x:c>
      <x:c r="C16" s="106" t="n">
        <x:v>20</x:v>
      </x:c>
      <x:c r="D16" s="106" t="n">
        <x:v>45</x:v>
      </x:c>
      <x:c r="E16" s="107" t="n">
        <x:v>69</x:v>
      </x:c>
      <x:c r="F16" s="107" t="n">
        <x:v>5000</x:v>
      </x:c>
      <x:c r="G16" s="98" t="str">
        <x:v>Post-PMF new customer</x:v>
      </x:c>
      <x:c r="H16" s="108" t="n">
        <x:f>IF(H$5=$C16,$F16,0)+IF(AND(H$5&gt;=$C16,$B16="Commercial"),$D16*$E16,0)</x:f>
        <x:v>0</x:v>
      </x:c>
      <x:c r="I16" s="108" t="n">
        <x:f>IF(I$5=$C16,$F16,0)+IF(AND(I$5&gt;=$C16,$B16="Commercial"),$D16*$E16,0)</x:f>
        <x:v>0</x:v>
      </x:c>
      <x:c r="J16" s="108" t="n">
        <x:f>IF(J$5=$C16,$F16,0)+IF(AND(J$5&gt;=$C16,$B16="Commercial"),$D16*$E16,0)</x:f>
        <x:v>0</x:v>
      </x:c>
      <x:c r="K16" s="108" t="n">
        <x:f>IF(K$5=$C16,$F16,0)+IF(AND(K$5&gt;=$C16,$B16="Commercial"),$D16*$E16,0)</x:f>
        <x:v>0</x:v>
      </x:c>
      <x:c r="L16" s="108" t="n">
        <x:f>IF(L$5=$C16,$F16,0)+IF(AND(L$5&gt;=$C16,$B16="Commercial"),$D16*$E16,0)</x:f>
        <x:v>0</x:v>
      </x:c>
      <x:c r="M16" s="108" t="n">
        <x:f>IF(M$5=$C16,$F16,0)+IF(AND(M$5&gt;=$C16,$B16="Commercial"),$D16*$E16,0)</x:f>
        <x:v>0</x:v>
      </x:c>
      <x:c r="N16" s="108" t="n">
        <x:f>IF(N$5=$C16,$F16,0)+IF(AND(N$5&gt;=$C16,$B16="Commercial"),$D16*$E16,0)</x:f>
        <x:v>0</x:v>
      </x:c>
      <x:c r="O16" s="108" t="n">
        <x:f>IF(O$5=$C16,$F16,0)+IF(AND(O$5&gt;=$C16,$B16="Commercial"),$D16*$E16,0)</x:f>
        <x:v>0</x:v>
      </x:c>
      <x:c r="P16" s="108" t="n">
        <x:f>IF(P$5=$C16,$F16,0)+IF(AND(P$5&gt;=$C16,$B16="Commercial"),$D16*$E16,0)</x:f>
        <x:v>0</x:v>
      </x:c>
      <x:c r="Q16" s="108" t="n">
        <x:f>IF(Q$5=$C16,$F16,0)+IF(AND(Q$5&gt;=$C16,$B16="Commercial"),$D16*$E16,0)</x:f>
        <x:v>0</x:v>
      </x:c>
      <x:c r="R16" s="108" t="n">
        <x:f>IF(R$5=$C16,$F16,0)+IF(AND(R$5&gt;=$C16,$B16="Commercial"),$D16*$E16,0)</x:f>
        <x:v>0</x:v>
      </x:c>
      <x:c r="S16" s="108" t="n">
        <x:f>IF(S$5=$C16,$F16,0)+IF(AND(S$5&gt;=$C16,$B16="Commercial"),$D16*$E16,0)</x:f>
        <x:v>0</x:v>
      </x:c>
      <x:c r="T16" s="108" t="n">
        <x:f>IF(T$5=$C16,$F16,0)+IF(AND(T$5&gt;=$C16,$B16="Commercial"),$D16*$E16,0)</x:f>
        <x:v>0</x:v>
      </x:c>
      <x:c r="U16" s="108" t="n">
        <x:f>IF(U$5=$C16,$F16,0)+IF(AND(U$5&gt;=$C16,$B16="Commercial"),$D16*$E16,0)</x:f>
        <x:v>0</x:v>
      </x:c>
      <x:c r="V16" s="108" t="n">
        <x:f>IF(V$5=$C16,$F16,0)+IF(AND(V$5&gt;=$C16,$B16="Commercial"),$D16*$E16,0)</x:f>
        <x:v>0</x:v>
      </x:c>
      <x:c r="W16" s="108" t="n">
        <x:f>IF(W$5=$C16,$F16,0)+IF(AND(W$5&gt;=$C16,$B16="Commercial"),$D16*$E16,0)</x:f>
        <x:v>0</x:v>
      </x:c>
      <x:c r="X16" s="108" t="n">
        <x:f>IF(X$5=$C16,$F16,0)+IF(AND(X$5&gt;=$C16,$B16="Commercial"),$D16*$E16,0)</x:f>
        <x:v>0</x:v>
      </x:c>
      <x:c r="Y16" s="108" t="n">
        <x:f>IF(Y$5=$C16,$F16,0)+IF(AND(Y$5&gt;=$C16,$B16="Commercial"),$D16*$E16,0)</x:f>
        <x:v>0</x:v>
      </x:c>
      <x:c r="Z16" s="108" t="n">
        <x:f>IF(Z$5=$C16,$F16,0)+IF(AND(Z$5&gt;=$C16,$B16="Commercial"),$D16*$E16,0)</x:f>
        <x:v>0</x:v>
      </x:c>
      <x:c r="AA16" s="108" t="n">
        <x:f>IF(AA$5=$C16,$F16,0)+IF(AND(AA$5&gt;=$C16,$B16="Commercial"),$D16*$E16,0)</x:f>
        <x:v>8105</x:v>
      </x:c>
      <x:c r="AB16" s="108" t="n">
        <x:f>IF(AB$5=$C16,$F16,0)+IF(AND(AB$5&gt;=$C16,$B16="Commercial"),$D16*$E16,0)</x:f>
        <x:v>3105</x:v>
      </x:c>
      <x:c r="AC16" s="108" t="n">
        <x:f>IF(AC$5=$C16,$F16,0)+IF(AND(AC$5&gt;=$C16,$B16="Commercial"),$D16*$E16,0)</x:f>
        <x:v>3105</x:v>
      </x:c>
      <x:c r="AD16" s="108" t="n">
        <x:f>IF(AD$5=$C16,$F16,0)+IF(AND(AD$5&gt;=$C16,$B16="Commercial"),$D16*$E16,0)</x:f>
        <x:v>3105</x:v>
      </x:c>
      <x:c r="AE16" s="108" t="n">
        <x:f>IF(AE$5=$C16,$F16,0)+IF(AND(AE$5&gt;=$C16,$B16="Commercial"),$D16*$E16,0)</x:f>
        <x:v>3105</x:v>
      </x:c>
      <x:c r="AF16" s="108" t="n">
        <x:f>IF(AF$5=$C16,$F16,0)+IF(AND(AF$5&gt;=$C16,$B16="Commercial"),$D16*$E16,0)</x:f>
        <x:v>3105</x:v>
      </x:c>
      <x:c r="AG16" s="108" t="n">
        <x:f>IF(AG$5=$C16,$F16,0)+IF(AND(AG$5&gt;=$C16,$B16="Commercial"),$D16*$E16,0)</x:f>
        <x:v>3105</x:v>
      </x:c>
      <x:c r="AH16" s="108" t="n">
        <x:f>IF(AH$5=$C16,$F16,0)+IF(AND(AH$5&gt;=$C16,$B16="Commercial"),$D16*$E16,0)</x:f>
        <x:v>3105</x:v>
      </x:c>
      <x:c r="AI16" s="108" t="n">
        <x:f>IF(AI$5=$C16,$F16,0)+IF(AND(AI$5&gt;=$C16,$B16="Commercial"),$D16*$E16,0)</x:f>
        <x:v>3105</x:v>
      </x:c>
      <x:c r="AJ16" s="108" t="n">
        <x:f>IF(AJ$5=$C16,$F16,0)+IF(AND(AJ$5&gt;=$C16,$B16="Commercial"),$D16*$E16,0)</x:f>
        <x:v>3105</x:v>
      </x:c>
      <x:c r="AK16" s="108" t="n">
        <x:f>IF(AK$5=$C16,$F16,0)+IF(AND(AK$5&gt;=$C16,$B16="Commercial"),$D16*$E16,0)</x:f>
        <x:v>3105</x:v>
      </x:c>
      <x:c r="AL16" s="108" t="n">
        <x:f>IF(AL$5=$C16,$F16,0)+IF(AND(AL$5&gt;=$C16,$B16="Commercial"),$D16*$E16,0)</x:f>
        <x:v>3105</x:v>
      </x:c>
      <x:c r="AM16" s="108" t="n">
        <x:f>IF(AM$5=$C16,$F16,0)+IF(AND(AM$5&gt;=$C16,$B16="Commercial"),$D16*$E16,0)</x:f>
        <x:v>3105</x:v>
      </x:c>
      <x:c r="AN16" s="108" t="n">
        <x:f>IF(AN$5=$C16,$F16,0)+IF(AND(AN$5&gt;=$C16,$B16="Commercial"),$D16*$E16,0)</x:f>
        <x:v>3105</x:v>
      </x:c>
      <x:c r="AO16" s="108" t="n">
        <x:f>IF(AO$5=$C16,$F16,0)+IF(AND(AO$5&gt;=$C16,$B16="Commercial"),$D16*$E16,0)</x:f>
        <x:v>3105</x:v>
      </x:c>
      <x:c r="AP16" s="108" t="n">
        <x:f>IF(AP$5=$C16,$F16,0)+IF(AND(AP$5&gt;=$C16,$B16="Commercial"),$D16*$E16,0)</x:f>
        <x:v>3105</x:v>
      </x:c>
      <x:c r="AQ16" s="108" t="n">
        <x:f>IF(AQ$5=$C16,$F16,0)+IF(AND(AQ$5&gt;=$C16,$B16="Commercial"),$D16*$E16,0)</x:f>
        <x:v>3105</x:v>
      </x:c>
    </x:row>
    <x:row r="17">
      <x:c r="A17" s="98" t="str">
        <x:v>C-10</x:v>
      </x:c>
      <x:c r="B17" s="98" t="str">
        <x:v>Commercial</x:v>
      </x:c>
      <x:c r="C17" s="106" t="n">
        <x:v>21</x:v>
      </x:c>
      <x:c r="D17" s="106" t="n">
        <x:v>45</x:v>
      </x:c>
      <x:c r="E17" s="107" t="n">
        <x:v>69</x:v>
      </x:c>
      <x:c r="F17" s="107" t="n">
        <x:v>5000</x:v>
      </x:c>
      <x:c r="G17" s="98" t="str">
        <x:v>Post-PMF new customer</x:v>
      </x:c>
      <x:c r="H17" s="108" t="n">
        <x:f>IF(H$5=$C17,$F17,0)+IF(AND(H$5&gt;=$C17,$B17="Commercial"),$D17*$E17,0)</x:f>
        <x:v>0</x:v>
      </x:c>
      <x:c r="I17" s="108" t="n">
        <x:f>IF(I$5=$C17,$F17,0)+IF(AND(I$5&gt;=$C17,$B17="Commercial"),$D17*$E17,0)</x:f>
        <x:v>0</x:v>
      </x:c>
      <x:c r="J17" s="108" t="n">
        <x:f>IF(J$5=$C17,$F17,0)+IF(AND(J$5&gt;=$C17,$B17="Commercial"),$D17*$E17,0)</x:f>
        <x:v>0</x:v>
      </x:c>
      <x:c r="K17" s="108" t="n">
        <x:f>IF(K$5=$C17,$F17,0)+IF(AND(K$5&gt;=$C17,$B17="Commercial"),$D17*$E17,0)</x:f>
        <x:v>0</x:v>
      </x:c>
      <x:c r="L17" s="108" t="n">
        <x:f>IF(L$5=$C17,$F17,0)+IF(AND(L$5&gt;=$C17,$B17="Commercial"),$D17*$E17,0)</x:f>
        <x:v>0</x:v>
      </x:c>
      <x:c r="M17" s="108" t="n">
        <x:f>IF(M$5=$C17,$F17,0)+IF(AND(M$5&gt;=$C17,$B17="Commercial"),$D17*$E17,0)</x:f>
        <x:v>0</x:v>
      </x:c>
      <x:c r="N17" s="108" t="n">
        <x:f>IF(N$5=$C17,$F17,0)+IF(AND(N$5&gt;=$C17,$B17="Commercial"),$D17*$E17,0)</x:f>
        <x:v>0</x:v>
      </x:c>
      <x:c r="O17" s="108" t="n">
        <x:f>IF(O$5=$C17,$F17,0)+IF(AND(O$5&gt;=$C17,$B17="Commercial"),$D17*$E17,0)</x:f>
        <x:v>0</x:v>
      </x:c>
      <x:c r="P17" s="108" t="n">
        <x:f>IF(P$5=$C17,$F17,0)+IF(AND(P$5&gt;=$C17,$B17="Commercial"),$D17*$E17,0)</x:f>
        <x:v>0</x:v>
      </x:c>
      <x:c r="Q17" s="108" t="n">
        <x:f>IF(Q$5=$C17,$F17,0)+IF(AND(Q$5&gt;=$C17,$B17="Commercial"),$D17*$E17,0)</x:f>
        <x:v>0</x:v>
      </x:c>
      <x:c r="R17" s="108" t="n">
        <x:f>IF(R$5=$C17,$F17,0)+IF(AND(R$5&gt;=$C17,$B17="Commercial"),$D17*$E17,0)</x:f>
        <x:v>0</x:v>
      </x:c>
      <x:c r="S17" s="108" t="n">
        <x:f>IF(S$5=$C17,$F17,0)+IF(AND(S$5&gt;=$C17,$B17="Commercial"),$D17*$E17,0)</x:f>
        <x:v>0</x:v>
      </x:c>
      <x:c r="T17" s="108" t="n">
        <x:f>IF(T$5=$C17,$F17,0)+IF(AND(T$5&gt;=$C17,$B17="Commercial"),$D17*$E17,0)</x:f>
        <x:v>0</x:v>
      </x:c>
      <x:c r="U17" s="108" t="n">
        <x:f>IF(U$5=$C17,$F17,0)+IF(AND(U$5&gt;=$C17,$B17="Commercial"),$D17*$E17,0)</x:f>
        <x:v>0</x:v>
      </x:c>
      <x:c r="V17" s="108" t="n">
        <x:f>IF(V$5=$C17,$F17,0)+IF(AND(V$5&gt;=$C17,$B17="Commercial"),$D17*$E17,0)</x:f>
        <x:v>0</x:v>
      </x:c>
      <x:c r="W17" s="108" t="n">
        <x:f>IF(W$5=$C17,$F17,0)+IF(AND(W$5&gt;=$C17,$B17="Commercial"),$D17*$E17,0)</x:f>
        <x:v>0</x:v>
      </x:c>
      <x:c r="X17" s="108" t="n">
        <x:f>IF(X$5=$C17,$F17,0)+IF(AND(X$5&gt;=$C17,$B17="Commercial"),$D17*$E17,0)</x:f>
        <x:v>0</x:v>
      </x:c>
      <x:c r="Y17" s="108" t="n">
        <x:f>IF(Y$5=$C17,$F17,0)+IF(AND(Y$5&gt;=$C17,$B17="Commercial"),$D17*$E17,0)</x:f>
        <x:v>0</x:v>
      </x:c>
      <x:c r="Z17" s="108" t="n">
        <x:f>IF(Z$5=$C17,$F17,0)+IF(AND(Z$5&gt;=$C17,$B17="Commercial"),$D17*$E17,0)</x:f>
        <x:v>0</x:v>
      </x:c>
      <x:c r="AA17" s="108" t="n">
        <x:f>IF(AA$5=$C17,$F17,0)+IF(AND(AA$5&gt;=$C17,$B17="Commercial"),$D17*$E17,0)</x:f>
        <x:v>0</x:v>
      </x:c>
      <x:c r="AB17" s="108" t="n">
        <x:f>IF(AB$5=$C17,$F17,0)+IF(AND(AB$5&gt;=$C17,$B17="Commercial"),$D17*$E17,0)</x:f>
        <x:v>8105</x:v>
      </x:c>
      <x:c r="AC17" s="108" t="n">
        <x:f>IF(AC$5=$C17,$F17,0)+IF(AND(AC$5&gt;=$C17,$B17="Commercial"),$D17*$E17,0)</x:f>
        <x:v>3105</x:v>
      </x:c>
      <x:c r="AD17" s="108" t="n">
        <x:f>IF(AD$5=$C17,$F17,0)+IF(AND(AD$5&gt;=$C17,$B17="Commercial"),$D17*$E17,0)</x:f>
        <x:v>3105</x:v>
      </x:c>
      <x:c r="AE17" s="108" t="n">
        <x:f>IF(AE$5=$C17,$F17,0)+IF(AND(AE$5&gt;=$C17,$B17="Commercial"),$D17*$E17,0)</x:f>
        <x:v>3105</x:v>
      </x:c>
      <x:c r="AF17" s="108" t="n">
        <x:f>IF(AF$5=$C17,$F17,0)+IF(AND(AF$5&gt;=$C17,$B17="Commercial"),$D17*$E17,0)</x:f>
        <x:v>3105</x:v>
      </x:c>
      <x:c r="AG17" s="108" t="n">
        <x:f>IF(AG$5=$C17,$F17,0)+IF(AND(AG$5&gt;=$C17,$B17="Commercial"),$D17*$E17,0)</x:f>
        <x:v>3105</x:v>
      </x:c>
      <x:c r="AH17" s="108" t="n">
        <x:f>IF(AH$5=$C17,$F17,0)+IF(AND(AH$5&gt;=$C17,$B17="Commercial"),$D17*$E17,0)</x:f>
        <x:v>3105</x:v>
      </x:c>
      <x:c r="AI17" s="108" t="n">
        <x:f>IF(AI$5=$C17,$F17,0)+IF(AND(AI$5&gt;=$C17,$B17="Commercial"),$D17*$E17,0)</x:f>
        <x:v>3105</x:v>
      </x:c>
      <x:c r="AJ17" s="108" t="n">
        <x:f>IF(AJ$5=$C17,$F17,0)+IF(AND(AJ$5&gt;=$C17,$B17="Commercial"),$D17*$E17,0)</x:f>
        <x:v>3105</x:v>
      </x:c>
      <x:c r="AK17" s="108" t="n">
        <x:f>IF(AK$5=$C17,$F17,0)+IF(AND(AK$5&gt;=$C17,$B17="Commercial"),$D17*$E17,0)</x:f>
        <x:v>3105</x:v>
      </x:c>
      <x:c r="AL17" s="108" t="n">
        <x:f>IF(AL$5=$C17,$F17,0)+IF(AND(AL$5&gt;=$C17,$B17="Commercial"),$D17*$E17,0)</x:f>
        <x:v>3105</x:v>
      </x:c>
      <x:c r="AM17" s="108" t="n">
        <x:f>IF(AM$5=$C17,$F17,0)+IF(AND(AM$5&gt;=$C17,$B17="Commercial"),$D17*$E17,0)</x:f>
        <x:v>3105</x:v>
      </x:c>
      <x:c r="AN17" s="108" t="n">
        <x:f>IF(AN$5=$C17,$F17,0)+IF(AND(AN$5&gt;=$C17,$B17="Commercial"),$D17*$E17,0)</x:f>
        <x:v>3105</x:v>
      </x:c>
      <x:c r="AO17" s="108" t="n">
        <x:f>IF(AO$5=$C17,$F17,0)+IF(AND(AO$5&gt;=$C17,$B17="Commercial"),$D17*$E17,0)</x:f>
        <x:v>3105</x:v>
      </x:c>
      <x:c r="AP17" s="108" t="n">
        <x:f>IF(AP$5=$C17,$F17,0)+IF(AND(AP$5&gt;=$C17,$B17="Commercial"),$D17*$E17,0)</x:f>
        <x:v>3105</x:v>
      </x:c>
      <x:c r="AQ17" s="108" t="n">
        <x:f>IF(AQ$5=$C17,$F17,0)+IF(AND(AQ$5&gt;=$C17,$B17="Commercial"),$D17*$E17,0)</x:f>
        <x:v>3105</x:v>
      </x:c>
    </x:row>
    <x:row r="18">
      <x:c r="A18" s="98" t="str">
        <x:v>C-11</x:v>
      </x:c>
      <x:c r="B18" s="98" t="str">
        <x:v>Commercial</x:v>
      </x:c>
      <x:c r="C18" s="106" t="n">
        <x:v>23</x:v>
      </x:c>
      <x:c r="D18" s="106" t="n">
        <x:v>45</x:v>
      </x:c>
      <x:c r="E18" s="107" t="n">
        <x:v>69</x:v>
      </x:c>
      <x:c r="F18" s="107" t="n">
        <x:v>5000</x:v>
      </x:c>
      <x:c r="G18" s="98" t="str">
        <x:v>Post-PMF new customer</x:v>
      </x:c>
      <x:c r="H18" s="108" t="n">
        <x:f>IF(H$5=$C18,$F18,0)+IF(AND(H$5&gt;=$C18,$B18="Commercial"),$D18*$E18,0)</x:f>
        <x:v>0</x:v>
      </x:c>
      <x:c r="I18" s="108" t="n">
        <x:f>IF(I$5=$C18,$F18,0)+IF(AND(I$5&gt;=$C18,$B18="Commercial"),$D18*$E18,0)</x:f>
        <x:v>0</x:v>
      </x:c>
      <x:c r="J18" s="108" t="n">
        <x:f>IF(J$5=$C18,$F18,0)+IF(AND(J$5&gt;=$C18,$B18="Commercial"),$D18*$E18,0)</x:f>
        <x:v>0</x:v>
      </x:c>
      <x:c r="K18" s="108" t="n">
        <x:f>IF(K$5=$C18,$F18,0)+IF(AND(K$5&gt;=$C18,$B18="Commercial"),$D18*$E18,0)</x:f>
        <x:v>0</x:v>
      </x:c>
      <x:c r="L18" s="108" t="n">
        <x:f>IF(L$5=$C18,$F18,0)+IF(AND(L$5&gt;=$C18,$B18="Commercial"),$D18*$E18,0)</x:f>
        <x:v>0</x:v>
      </x:c>
      <x:c r="M18" s="108" t="n">
        <x:f>IF(M$5=$C18,$F18,0)+IF(AND(M$5&gt;=$C18,$B18="Commercial"),$D18*$E18,0)</x:f>
        <x:v>0</x:v>
      </x:c>
      <x:c r="N18" s="108" t="n">
        <x:f>IF(N$5=$C18,$F18,0)+IF(AND(N$5&gt;=$C18,$B18="Commercial"),$D18*$E18,0)</x:f>
        <x:v>0</x:v>
      </x:c>
      <x:c r="O18" s="108" t="n">
        <x:f>IF(O$5=$C18,$F18,0)+IF(AND(O$5&gt;=$C18,$B18="Commercial"),$D18*$E18,0)</x:f>
        <x:v>0</x:v>
      </x:c>
      <x:c r="P18" s="108" t="n">
        <x:f>IF(P$5=$C18,$F18,0)+IF(AND(P$5&gt;=$C18,$B18="Commercial"),$D18*$E18,0)</x:f>
        <x:v>0</x:v>
      </x:c>
      <x:c r="Q18" s="108" t="n">
        <x:f>IF(Q$5=$C18,$F18,0)+IF(AND(Q$5&gt;=$C18,$B18="Commercial"),$D18*$E18,0)</x:f>
        <x:v>0</x:v>
      </x:c>
      <x:c r="R18" s="108" t="n">
        <x:f>IF(R$5=$C18,$F18,0)+IF(AND(R$5&gt;=$C18,$B18="Commercial"),$D18*$E18,0)</x:f>
        <x:v>0</x:v>
      </x:c>
      <x:c r="S18" s="108" t="n">
        <x:f>IF(S$5=$C18,$F18,0)+IF(AND(S$5&gt;=$C18,$B18="Commercial"),$D18*$E18,0)</x:f>
        <x:v>0</x:v>
      </x:c>
      <x:c r="T18" s="108" t="n">
        <x:f>IF(T$5=$C18,$F18,0)+IF(AND(T$5&gt;=$C18,$B18="Commercial"),$D18*$E18,0)</x:f>
        <x:v>0</x:v>
      </x:c>
      <x:c r="U18" s="108" t="n">
        <x:f>IF(U$5=$C18,$F18,0)+IF(AND(U$5&gt;=$C18,$B18="Commercial"),$D18*$E18,0)</x:f>
        <x:v>0</x:v>
      </x:c>
      <x:c r="V18" s="108" t="n">
        <x:f>IF(V$5=$C18,$F18,0)+IF(AND(V$5&gt;=$C18,$B18="Commercial"),$D18*$E18,0)</x:f>
        <x:v>0</x:v>
      </x:c>
      <x:c r="W18" s="108" t="n">
        <x:f>IF(W$5=$C18,$F18,0)+IF(AND(W$5&gt;=$C18,$B18="Commercial"),$D18*$E18,0)</x:f>
        <x:v>0</x:v>
      </x:c>
      <x:c r="X18" s="108" t="n">
        <x:f>IF(X$5=$C18,$F18,0)+IF(AND(X$5&gt;=$C18,$B18="Commercial"),$D18*$E18,0)</x:f>
        <x:v>0</x:v>
      </x:c>
      <x:c r="Y18" s="108" t="n">
        <x:f>IF(Y$5=$C18,$F18,0)+IF(AND(Y$5&gt;=$C18,$B18="Commercial"),$D18*$E18,0)</x:f>
        <x:v>0</x:v>
      </x:c>
      <x:c r="Z18" s="108" t="n">
        <x:f>IF(Z$5=$C18,$F18,0)+IF(AND(Z$5&gt;=$C18,$B18="Commercial"),$D18*$E18,0)</x:f>
        <x:v>0</x:v>
      </x:c>
      <x:c r="AA18" s="108" t="n">
        <x:f>IF(AA$5=$C18,$F18,0)+IF(AND(AA$5&gt;=$C18,$B18="Commercial"),$D18*$E18,0)</x:f>
        <x:v>0</x:v>
      </x:c>
      <x:c r="AB18" s="108" t="n">
        <x:f>IF(AB$5=$C18,$F18,0)+IF(AND(AB$5&gt;=$C18,$B18="Commercial"),$D18*$E18,0)</x:f>
        <x:v>0</x:v>
      </x:c>
      <x:c r="AC18" s="108" t="n">
        <x:f>IF(AC$5=$C18,$F18,0)+IF(AND(AC$5&gt;=$C18,$B18="Commercial"),$D18*$E18,0)</x:f>
        <x:v>0</x:v>
      </x:c>
      <x:c r="AD18" s="108" t="n">
        <x:f>IF(AD$5=$C18,$F18,0)+IF(AND(AD$5&gt;=$C18,$B18="Commercial"),$D18*$E18,0)</x:f>
        <x:v>8105</x:v>
      </x:c>
      <x:c r="AE18" s="108" t="n">
        <x:f>IF(AE$5=$C18,$F18,0)+IF(AND(AE$5&gt;=$C18,$B18="Commercial"),$D18*$E18,0)</x:f>
        <x:v>3105</x:v>
      </x:c>
      <x:c r="AF18" s="108" t="n">
        <x:f>IF(AF$5=$C18,$F18,0)+IF(AND(AF$5&gt;=$C18,$B18="Commercial"),$D18*$E18,0)</x:f>
        <x:v>3105</x:v>
      </x:c>
      <x:c r="AG18" s="108" t="n">
        <x:f>IF(AG$5=$C18,$F18,0)+IF(AND(AG$5&gt;=$C18,$B18="Commercial"),$D18*$E18,0)</x:f>
        <x:v>3105</x:v>
      </x:c>
      <x:c r="AH18" s="108" t="n">
        <x:f>IF(AH$5=$C18,$F18,0)+IF(AND(AH$5&gt;=$C18,$B18="Commercial"),$D18*$E18,0)</x:f>
        <x:v>3105</x:v>
      </x:c>
      <x:c r="AI18" s="108" t="n">
        <x:f>IF(AI$5=$C18,$F18,0)+IF(AND(AI$5&gt;=$C18,$B18="Commercial"),$D18*$E18,0)</x:f>
        <x:v>3105</x:v>
      </x:c>
      <x:c r="AJ18" s="108" t="n">
        <x:f>IF(AJ$5=$C18,$F18,0)+IF(AND(AJ$5&gt;=$C18,$B18="Commercial"),$D18*$E18,0)</x:f>
        <x:v>3105</x:v>
      </x:c>
      <x:c r="AK18" s="108" t="n">
        <x:f>IF(AK$5=$C18,$F18,0)+IF(AND(AK$5&gt;=$C18,$B18="Commercial"),$D18*$E18,0)</x:f>
        <x:v>3105</x:v>
      </x:c>
      <x:c r="AL18" s="108" t="n">
        <x:f>IF(AL$5=$C18,$F18,0)+IF(AND(AL$5&gt;=$C18,$B18="Commercial"),$D18*$E18,0)</x:f>
        <x:v>3105</x:v>
      </x:c>
      <x:c r="AM18" s="108" t="n">
        <x:f>IF(AM$5=$C18,$F18,0)+IF(AND(AM$5&gt;=$C18,$B18="Commercial"),$D18*$E18,0)</x:f>
        <x:v>3105</x:v>
      </x:c>
      <x:c r="AN18" s="108" t="n">
        <x:f>IF(AN$5=$C18,$F18,0)+IF(AND(AN$5&gt;=$C18,$B18="Commercial"),$D18*$E18,0)</x:f>
        <x:v>3105</x:v>
      </x:c>
      <x:c r="AO18" s="108" t="n">
        <x:f>IF(AO$5=$C18,$F18,0)+IF(AND(AO$5&gt;=$C18,$B18="Commercial"),$D18*$E18,0)</x:f>
        <x:v>3105</x:v>
      </x:c>
      <x:c r="AP18" s="108" t="n">
        <x:f>IF(AP$5=$C18,$F18,0)+IF(AND(AP$5&gt;=$C18,$B18="Commercial"),$D18*$E18,0)</x:f>
        <x:v>3105</x:v>
      </x:c>
      <x:c r="AQ18" s="108" t="n">
        <x:f>IF(AQ$5=$C18,$F18,0)+IF(AND(AQ$5&gt;=$C18,$B18="Commercial"),$D18*$E18,0)</x:f>
        <x:v>3105</x:v>
      </x:c>
    </x:row>
    <x:row r="19">
      <x:c r="A19" s="98" t="str">
        <x:v>C-12</x:v>
      </x:c>
      <x:c r="B19" s="98" t="str">
        <x:v>Commercial</x:v>
      </x:c>
      <x:c r="C19" s="106" t="n">
        <x:v>24</x:v>
      </x:c>
      <x:c r="D19" s="106" t="n">
        <x:v>45</x:v>
      </x:c>
      <x:c r="E19" s="107" t="n">
        <x:v>69</x:v>
      </x:c>
      <x:c r="F19" s="107" t="n">
        <x:v>5000</x:v>
      </x:c>
      <x:c r="G19" s="98" t="str">
        <x:v>Post-PMF new customer</x:v>
      </x:c>
      <x:c r="H19" s="108" t="n">
        <x:f>IF(H$5=$C19,$F19,0)+IF(AND(H$5&gt;=$C19,$B19="Commercial"),$D19*$E19,0)</x:f>
        <x:v>0</x:v>
      </x:c>
      <x:c r="I19" s="108" t="n">
        <x:f>IF(I$5=$C19,$F19,0)+IF(AND(I$5&gt;=$C19,$B19="Commercial"),$D19*$E19,0)</x:f>
        <x:v>0</x:v>
      </x:c>
      <x:c r="J19" s="108" t="n">
        <x:f>IF(J$5=$C19,$F19,0)+IF(AND(J$5&gt;=$C19,$B19="Commercial"),$D19*$E19,0)</x:f>
        <x:v>0</x:v>
      </x:c>
      <x:c r="K19" s="108" t="n">
        <x:f>IF(K$5=$C19,$F19,0)+IF(AND(K$5&gt;=$C19,$B19="Commercial"),$D19*$E19,0)</x:f>
        <x:v>0</x:v>
      </x:c>
      <x:c r="L19" s="108" t="n">
        <x:f>IF(L$5=$C19,$F19,0)+IF(AND(L$5&gt;=$C19,$B19="Commercial"),$D19*$E19,0)</x:f>
        <x:v>0</x:v>
      </x:c>
      <x:c r="M19" s="108" t="n">
        <x:f>IF(M$5=$C19,$F19,0)+IF(AND(M$5&gt;=$C19,$B19="Commercial"),$D19*$E19,0)</x:f>
        <x:v>0</x:v>
      </x:c>
      <x:c r="N19" s="108" t="n">
        <x:f>IF(N$5=$C19,$F19,0)+IF(AND(N$5&gt;=$C19,$B19="Commercial"),$D19*$E19,0)</x:f>
        <x:v>0</x:v>
      </x:c>
      <x:c r="O19" s="108" t="n">
        <x:f>IF(O$5=$C19,$F19,0)+IF(AND(O$5&gt;=$C19,$B19="Commercial"),$D19*$E19,0)</x:f>
        <x:v>0</x:v>
      </x:c>
      <x:c r="P19" s="108" t="n">
        <x:f>IF(P$5=$C19,$F19,0)+IF(AND(P$5&gt;=$C19,$B19="Commercial"),$D19*$E19,0)</x:f>
        <x:v>0</x:v>
      </x:c>
      <x:c r="Q19" s="108" t="n">
        <x:f>IF(Q$5=$C19,$F19,0)+IF(AND(Q$5&gt;=$C19,$B19="Commercial"),$D19*$E19,0)</x:f>
        <x:v>0</x:v>
      </x:c>
      <x:c r="R19" s="108" t="n">
        <x:f>IF(R$5=$C19,$F19,0)+IF(AND(R$5&gt;=$C19,$B19="Commercial"),$D19*$E19,0)</x:f>
        <x:v>0</x:v>
      </x:c>
      <x:c r="S19" s="108" t="n">
        <x:f>IF(S$5=$C19,$F19,0)+IF(AND(S$5&gt;=$C19,$B19="Commercial"),$D19*$E19,0)</x:f>
        <x:v>0</x:v>
      </x:c>
      <x:c r="T19" s="108" t="n">
        <x:f>IF(T$5=$C19,$F19,0)+IF(AND(T$5&gt;=$C19,$B19="Commercial"),$D19*$E19,0)</x:f>
        <x:v>0</x:v>
      </x:c>
      <x:c r="U19" s="108" t="n">
        <x:f>IF(U$5=$C19,$F19,0)+IF(AND(U$5&gt;=$C19,$B19="Commercial"),$D19*$E19,0)</x:f>
        <x:v>0</x:v>
      </x:c>
      <x:c r="V19" s="108" t="n">
        <x:f>IF(V$5=$C19,$F19,0)+IF(AND(V$5&gt;=$C19,$B19="Commercial"),$D19*$E19,0)</x:f>
        <x:v>0</x:v>
      </x:c>
      <x:c r="W19" s="108" t="n">
        <x:f>IF(W$5=$C19,$F19,0)+IF(AND(W$5&gt;=$C19,$B19="Commercial"),$D19*$E19,0)</x:f>
        <x:v>0</x:v>
      </x:c>
      <x:c r="X19" s="108" t="n">
        <x:f>IF(X$5=$C19,$F19,0)+IF(AND(X$5&gt;=$C19,$B19="Commercial"),$D19*$E19,0)</x:f>
        <x:v>0</x:v>
      </x:c>
      <x:c r="Y19" s="108" t="n">
        <x:f>IF(Y$5=$C19,$F19,0)+IF(AND(Y$5&gt;=$C19,$B19="Commercial"),$D19*$E19,0)</x:f>
        <x:v>0</x:v>
      </x:c>
      <x:c r="Z19" s="108" t="n">
        <x:f>IF(Z$5=$C19,$F19,0)+IF(AND(Z$5&gt;=$C19,$B19="Commercial"),$D19*$E19,0)</x:f>
        <x:v>0</x:v>
      </x:c>
      <x:c r="AA19" s="108" t="n">
        <x:f>IF(AA$5=$C19,$F19,0)+IF(AND(AA$5&gt;=$C19,$B19="Commercial"),$D19*$E19,0)</x:f>
        <x:v>0</x:v>
      </x:c>
      <x:c r="AB19" s="108" t="n">
        <x:f>IF(AB$5=$C19,$F19,0)+IF(AND(AB$5&gt;=$C19,$B19="Commercial"),$D19*$E19,0)</x:f>
        <x:v>0</x:v>
      </x:c>
      <x:c r="AC19" s="108" t="n">
        <x:f>IF(AC$5=$C19,$F19,0)+IF(AND(AC$5&gt;=$C19,$B19="Commercial"),$D19*$E19,0)</x:f>
        <x:v>0</x:v>
      </x:c>
      <x:c r="AD19" s="108" t="n">
        <x:f>IF(AD$5=$C19,$F19,0)+IF(AND(AD$5&gt;=$C19,$B19="Commercial"),$D19*$E19,0)</x:f>
        <x:v>0</x:v>
      </x:c>
      <x:c r="AE19" s="108" t="n">
        <x:f>IF(AE$5=$C19,$F19,0)+IF(AND(AE$5&gt;=$C19,$B19="Commercial"),$D19*$E19,0)</x:f>
        <x:v>8105</x:v>
      </x:c>
      <x:c r="AF19" s="108" t="n">
        <x:f>IF(AF$5=$C19,$F19,0)+IF(AND(AF$5&gt;=$C19,$B19="Commercial"),$D19*$E19,0)</x:f>
        <x:v>3105</x:v>
      </x:c>
      <x:c r="AG19" s="108" t="n">
        <x:f>IF(AG$5=$C19,$F19,0)+IF(AND(AG$5&gt;=$C19,$B19="Commercial"),$D19*$E19,0)</x:f>
        <x:v>3105</x:v>
      </x:c>
      <x:c r="AH19" s="108" t="n">
        <x:f>IF(AH$5=$C19,$F19,0)+IF(AND(AH$5&gt;=$C19,$B19="Commercial"),$D19*$E19,0)</x:f>
        <x:v>3105</x:v>
      </x:c>
      <x:c r="AI19" s="108" t="n">
        <x:f>IF(AI$5=$C19,$F19,0)+IF(AND(AI$5&gt;=$C19,$B19="Commercial"),$D19*$E19,0)</x:f>
        <x:v>3105</x:v>
      </x:c>
      <x:c r="AJ19" s="108" t="n">
        <x:f>IF(AJ$5=$C19,$F19,0)+IF(AND(AJ$5&gt;=$C19,$B19="Commercial"),$D19*$E19,0)</x:f>
        <x:v>3105</x:v>
      </x:c>
      <x:c r="AK19" s="108" t="n">
        <x:f>IF(AK$5=$C19,$F19,0)+IF(AND(AK$5&gt;=$C19,$B19="Commercial"),$D19*$E19,0)</x:f>
        <x:v>3105</x:v>
      </x:c>
      <x:c r="AL19" s="108" t="n">
        <x:f>IF(AL$5=$C19,$F19,0)+IF(AND(AL$5&gt;=$C19,$B19="Commercial"),$D19*$E19,0)</x:f>
        <x:v>3105</x:v>
      </x:c>
      <x:c r="AM19" s="108" t="n">
        <x:f>IF(AM$5=$C19,$F19,0)+IF(AND(AM$5&gt;=$C19,$B19="Commercial"),$D19*$E19,0)</x:f>
        <x:v>3105</x:v>
      </x:c>
      <x:c r="AN19" s="108" t="n">
        <x:f>IF(AN$5=$C19,$F19,0)+IF(AND(AN$5&gt;=$C19,$B19="Commercial"),$D19*$E19,0)</x:f>
        <x:v>3105</x:v>
      </x:c>
      <x:c r="AO19" s="108" t="n">
        <x:f>IF(AO$5=$C19,$F19,0)+IF(AND(AO$5&gt;=$C19,$B19="Commercial"),$D19*$E19,0)</x:f>
        <x:v>3105</x:v>
      </x:c>
      <x:c r="AP19" s="108" t="n">
        <x:f>IF(AP$5=$C19,$F19,0)+IF(AND(AP$5&gt;=$C19,$B19="Commercial"),$D19*$E19,0)</x:f>
        <x:v>3105</x:v>
      </x:c>
      <x:c r="AQ19" s="108" t="n">
        <x:f>IF(AQ$5=$C19,$F19,0)+IF(AND(AQ$5&gt;=$C19,$B19="Commercial"),$D19*$E19,0)</x:f>
        <x:v>3105</x:v>
      </x:c>
    </x:row>
    <x:row r="20">
      <x:c r="A20" s="98" t="str">
        <x:v>C-13</x:v>
      </x:c>
      <x:c r="B20" s="98" t="str">
        <x:v>Commercial</x:v>
      </x:c>
      <x:c r="C20" s="106" t="n">
        <x:v>26</x:v>
      </x:c>
      <x:c r="D20" s="106" t="n">
        <x:v>45</x:v>
      </x:c>
      <x:c r="E20" s="107" t="n">
        <x:v>69</x:v>
      </x:c>
      <x:c r="F20" s="107" t="n">
        <x:v>5000</x:v>
      </x:c>
      <x:c r="G20" s="98" t="str">
        <x:v>Year-3 new customer</x:v>
      </x:c>
      <x:c r="H20" s="108" t="n">
        <x:f>IF(H$5=$C20,$F20,0)+IF(AND(H$5&gt;=$C20,$B20="Commercial"),$D20*$E20,0)</x:f>
        <x:v>0</x:v>
      </x:c>
      <x:c r="I20" s="108" t="n">
        <x:f>IF(I$5=$C20,$F20,0)+IF(AND(I$5&gt;=$C20,$B20="Commercial"),$D20*$E20,0)</x:f>
        <x:v>0</x:v>
      </x:c>
      <x:c r="J20" s="108" t="n">
        <x:f>IF(J$5=$C20,$F20,0)+IF(AND(J$5&gt;=$C20,$B20="Commercial"),$D20*$E20,0)</x:f>
        <x:v>0</x:v>
      </x:c>
      <x:c r="K20" s="108" t="n">
        <x:f>IF(K$5=$C20,$F20,0)+IF(AND(K$5&gt;=$C20,$B20="Commercial"),$D20*$E20,0)</x:f>
        <x:v>0</x:v>
      </x:c>
      <x:c r="L20" s="108" t="n">
        <x:f>IF(L$5=$C20,$F20,0)+IF(AND(L$5&gt;=$C20,$B20="Commercial"),$D20*$E20,0)</x:f>
        <x:v>0</x:v>
      </x:c>
      <x:c r="M20" s="108" t="n">
        <x:f>IF(M$5=$C20,$F20,0)+IF(AND(M$5&gt;=$C20,$B20="Commercial"),$D20*$E20,0)</x:f>
        <x:v>0</x:v>
      </x:c>
      <x:c r="N20" s="108" t="n">
        <x:f>IF(N$5=$C20,$F20,0)+IF(AND(N$5&gt;=$C20,$B20="Commercial"),$D20*$E20,0)</x:f>
        <x:v>0</x:v>
      </x:c>
      <x:c r="O20" s="108" t="n">
        <x:f>IF(O$5=$C20,$F20,0)+IF(AND(O$5&gt;=$C20,$B20="Commercial"),$D20*$E20,0)</x:f>
        <x:v>0</x:v>
      </x:c>
      <x:c r="P20" s="108" t="n">
        <x:f>IF(P$5=$C20,$F20,0)+IF(AND(P$5&gt;=$C20,$B20="Commercial"),$D20*$E20,0)</x:f>
        <x:v>0</x:v>
      </x:c>
      <x:c r="Q20" s="108" t="n">
        <x:f>IF(Q$5=$C20,$F20,0)+IF(AND(Q$5&gt;=$C20,$B20="Commercial"),$D20*$E20,0)</x:f>
        <x:v>0</x:v>
      </x:c>
      <x:c r="R20" s="108" t="n">
        <x:f>IF(R$5=$C20,$F20,0)+IF(AND(R$5&gt;=$C20,$B20="Commercial"),$D20*$E20,0)</x:f>
        <x:v>0</x:v>
      </x:c>
      <x:c r="S20" s="108" t="n">
        <x:f>IF(S$5=$C20,$F20,0)+IF(AND(S$5&gt;=$C20,$B20="Commercial"),$D20*$E20,0)</x:f>
        <x:v>0</x:v>
      </x:c>
      <x:c r="T20" s="108" t="n">
        <x:f>IF(T$5=$C20,$F20,0)+IF(AND(T$5&gt;=$C20,$B20="Commercial"),$D20*$E20,0)</x:f>
        <x:v>0</x:v>
      </x:c>
      <x:c r="U20" s="108" t="n">
        <x:f>IF(U$5=$C20,$F20,0)+IF(AND(U$5&gt;=$C20,$B20="Commercial"),$D20*$E20,0)</x:f>
        <x:v>0</x:v>
      </x:c>
      <x:c r="V20" s="108" t="n">
        <x:f>IF(V$5=$C20,$F20,0)+IF(AND(V$5&gt;=$C20,$B20="Commercial"),$D20*$E20,0)</x:f>
        <x:v>0</x:v>
      </x:c>
      <x:c r="W20" s="108" t="n">
        <x:f>IF(W$5=$C20,$F20,0)+IF(AND(W$5&gt;=$C20,$B20="Commercial"),$D20*$E20,0)</x:f>
        <x:v>0</x:v>
      </x:c>
      <x:c r="X20" s="108" t="n">
        <x:f>IF(X$5=$C20,$F20,0)+IF(AND(X$5&gt;=$C20,$B20="Commercial"),$D20*$E20,0)</x:f>
        <x:v>0</x:v>
      </x:c>
      <x:c r="Y20" s="108" t="n">
        <x:f>IF(Y$5=$C20,$F20,0)+IF(AND(Y$5&gt;=$C20,$B20="Commercial"),$D20*$E20,0)</x:f>
        <x:v>0</x:v>
      </x:c>
      <x:c r="Z20" s="108" t="n">
        <x:f>IF(Z$5=$C20,$F20,0)+IF(AND(Z$5&gt;=$C20,$B20="Commercial"),$D20*$E20,0)</x:f>
        <x:v>0</x:v>
      </x:c>
      <x:c r="AA20" s="108" t="n">
        <x:f>IF(AA$5=$C20,$F20,0)+IF(AND(AA$5&gt;=$C20,$B20="Commercial"),$D20*$E20,0)</x:f>
        <x:v>0</x:v>
      </x:c>
      <x:c r="AB20" s="108" t="n">
        <x:f>IF(AB$5=$C20,$F20,0)+IF(AND(AB$5&gt;=$C20,$B20="Commercial"),$D20*$E20,0)</x:f>
        <x:v>0</x:v>
      </x:c>
      <x:c r="AC20" s="108" t="n">
        <x:f>IF(AC$5=$C20,$F20,0)+IF(AND(AC$5&gt;=$C20,$B20="Commercial"),$D20*$E20,0)</x:f>
        <x:v>0</x:v>
      </x:c>
      <x:c r="AD20" s="108" t="n">
        <x:f>IF(AD$5=$C20,$F20,0)+IF(AND(AD$5&gt;=$C20,$B20="Commercial"),$D20*$E20,0)</x:f>
        <x:v>0</x:v>
      </x:c>
      <x:c r="AE20" s="108" t="n">
        <x:f>IF(AE$5=$C20,$F20,0)+IF(AND(AE$5&gt;=$C20,$B20="Commercial"),$D20*$E20,0)</x:f>
        <x:v>0</x:v>
      </x:c>
      <x:c r="AF20" s="108" t="n">
        <x:f>IF(AF$5=$C20,$F20,0)+IF(AND(AF$5&gt;=$C20,$B20="Commercial"),$D20*$E20,0)</x:f>
        <x:v>0</x:v>
      </x:c>
      <x:c r="AG20" s="108" t="n">
        <x:f>IF(AG$5=$C20,$F20,0)+IF(AND(AG$5&gt;=$C20,$B20="Commercial"),$D20*$E20,0)</x:f>
        <x:v>8105</x:v>
      </x:c>
      <x:c r="AH20" s="108" t="n">
        <x:f>IF(AH$5=$C20,$F20,0)+IF(AND(AH$5&gt;=$C20,$B20="Commercial"),$D20*$E20,0)</x:f>
        <x:v>3105</x:v>
      </x:c>
      <x:c r="AI20" s="108" t="n">
        <x:f>IF(AI$5=$C20,$F20,0)+IF(AND(AI$5&gt;=$C20,$B20="Commercial"),$D20*$E20,0)</x:f>
        <x:v>3105</x:v>
      </x:c>
      <x:c r="AJ20" s="108" t="n">
        <x:f>IF(AJ$5=$C20,$F20,0)+IF(AND(AJ$5&gt;=$C20,$B20="Commercial"),$D20*$E20,0)</x:f>
        <x:v>3105</x:v>
      </x:c>
      <x:c r="AK20" s="108" t="n">
        <x:f>IF(AK$5=$C20,$F20,0)+IF(AND(AK$5&gt;=$C20,$B20="Commercial"),$D20*$E20,0)</x:f>
        <x:v>3105</x:v>
      </x:c>
      <x:c r="AL20" s="108" t="n">
        <x:f>IF(AL$5=$C20,$F20,0)+IF(AND(AL$5&gt;=$C20,$B20="Commercial"),$D20*$E20,0)</x:f>
        <x:v>3105</x:v>
      </x:c>
      <x:c r="AM20" s="108" t="n">
        <x:f>IF(AM$5=$C20,$F20,0)+IF(AND(AM$5&gt;=$C20,$B20="Commercial"),$D20*$E20,0)</x:f>
        <x:v>3105</x:v>
      </x:c>
      <x:c r="AN20" s="108" t="n">
        <x:f>IF(AN$5=$C20,$F20,0)+IF(AND(AN$5&gt;=$C20,$B20="Commercial"),$D20*$E20,0)</x:f>
        <x:v>3105</x:v>
      </x:c>
      <x:c r="AO20" s="108" t="n">
        <x:f>IF(AO$5=$C20,$F20,0)+IF(AND(AO$5&gt;=$C20,$B20="Commercial"),$D20*$E20,0)</x:f>
        <x:v>3105</x:v>
      </x:c>
      <x:c r="AP20" s="108" t="n">
        <x:f>IF(AP$5=$C20,$F20,0)+IF(AND(AP$5&gt;=$C20,$B20="Commercial"),$D20*$E20,0)</x:f>
        <x:v>3105</x:v>
      </x:c>
      <x:c r="AQ20" s="108" t="n">
        <x:f>IF(AQ$5=$C20,$F20,0)+IF(AND(AQ$5&gt;=$C20,$B20="Commercial"),$D20*$E20,0)</x:f>
        <x:v>3105</x:v>
      </x:c>
    </x:row>
    <x:row r="21">
      <x:c r="A21" s="98" t="str">
        <x:v>C-14</x:v>
      </x:c>
      <x:c r="B21" s="98" t="str">
        <x:v>Commercial</x:v>
      </x:c>
      <x:c r="C21" s="106" t="n">
        <x:v>27</x:v>
      </x:c>
      <x:c r="D21" s="106" t="n">
        <x:v>45</x:v>
      </x:c>
      <x:c r="E21" s="107" t="n">
        <x:v>69</x:v>
      </x:c>
      <x:c r="F21" s="107" t="n">
        <x:v>5000</x:v>
      </x:c>
      <x:c r="G21" s="98" t="str">
        <x:v>Year-3 new customer</x:v>
      </x:c>
      <x:c r="H21" s="108" t="n">
        <x:f>IF(H$5=$C21,$F21,0)+IF(AND(H$5&gt;=$C21,$B21="Commercial"),$D21*$E21,0)</x:f>
        <x:v>0</x:v>
      </x:c>
      <x:c r="I21" s="108" t="n">
        <x:f>IF(I$5=$C21,$F21,0)+IF(AND(I$5&gt;=$C21,$B21="Commercial"),$D21*$E21,0)</x:f>
        <x:v>0</x:v>
      </x:c>
      <x:c r="J21" s="108" t="n">
        <x:f>IF(J$5=$C21,$F21,0)+IF(AND(J$5&gt;=$C21,$B21="Commercial"),$D21*$E21,0)</x:f>
        <x:v>0</x:v>
      </x:c>
      <x:c r="K21" s="108" t="n">
        <x:f>IF(K$5=$C21,$F21,0)+IF(AND(K$5&gt;=$C21,$B21="Commercial"),$D21*$E21,0)</x:f>
        <x:v>0</x:v>
      </x:c>
      <x:c r="L21" s="108" t="n">
        <x:f>IF(L$5=$C21,$F21,0)+IF(AND(L$5&gt;=$C21,$B21="Commercial"),$D21*$E21,0)</x:f>
        <x:v>0</x:v>
      </x:c>
      <x:c r="M21" s="108" t="n">
        <x:f>IF(M$5=$C21,$F21,0)+IF(AND(M$5&gt;=$C21,$B21="Commercial"),$D21*$E21,0)</x:f>
        <x:v>0</x:v>
      </x:c>
      <x:c r="N21" s="108" t="n">
        <x:f>IF(N$5=$C21,$F21,0)+IF(AND(N$5&gt;=$C21,$B21="Commercial"),$D21*$E21,0)</x:f>
        <x:v>0</x:v>
      </x:c>
      <x:c r="O21" s="108" t="n">
        <x:f>IF(O$5=$C21,$F21,0)+IF(AND(O$5&gt;=$C21,$B21="Commercial"),$D21*$E21,0)</x:f>
        <x:v>0</x:v>
      </x:c>
      <x:c r="P21" s="108" t="n">
        <x:f>IF(P$5=$C21,$F21,0)+IF(AND(P$5&gt;=$C21,$B21="Commercial"),$D21*$E21,0)</x:f>
        <x:v>0</x:v>
      </x:c>
      <x:c r="Q21" s="108" t="n">
        <x:f>IF(Q$5=$C21,$F21,0)+IF(AND(Q$5&gt;=$C21,$B21="Commercial"),$D21*$E21,0)</x:f>
        <x:v>0</x:v>
      </x:c>
      <x:c r="R21" s="108" t="n">
        <x:f>IF(R$5=$C21,$F21,0)+IF(AND(R$5&gt;=$C21,$B21="Commercial"),$D21*$E21,0)</x:f>
        <x:v>0</x:v>
      </x:c>
      <x:c r="S21" s="108" t="n">
        <x:f>IF(S$5=$C21,$F21,0)+IF(AND(S$5&gt;=$C21,$B21="Commercial"),$D21*$E21,0)</x:f>
        <x:v>0</x:v>
      </x:c>
      <x:c r="T21" s="108" t="n">
        <x:f>IF(T$5=$C21,$F21,0)+IF(AND(T$5&gt;=$C21,$B21="Commercial"),$D21*$E21,0)</x:f>
        <x:v>0</x:v>
      </x:c>
      <x:c r="U21" s="108" t="n">
        <x:f>IF(U$5=$C21,$F21,0)+IF(AND(U$5&gt;=$C21,$B21="Commercial"),$D21*$E21,0)</x:f>
        <x:v>0</x:v>
      </x:c>
      <x:c r="V21" s="108" t="n">
        <x:f>IF(V$5=$C21,$F21,0)+IF(AND(V$5&gt;=$C21,$B21="Commercial"),$D21*$E21,0)</x:f>
        <x:v>0</x:v>
      </x:c>
      <x:c r="W21" s="108" t="n">
        <x:f>IF(W$5=$C21,$F21,0)+IF(AND(W$5&gt;=$C21,$B21="Commercial"),$D21*$E21,0)</x:f>
        <x:v>0</x:v>
      </x:c>
      <x:c r="X21" s="108" t="n">
        <x:f>IF(X$5=$C21,$F21,0)+IF(AND(X$5&gt;=$C21,$B21="Commercial"),$D21*$E21,0)</x:f>
        <x:v>0</x:v>
      </x:c>
      <x:c r="Y21" s="108" t="n">
        <x:f>IF(Y$5=$C21,$F21,0)+IF(AND(Y$5&gt;=$C21,$B21="Commercial"),$D21*$E21,0)</x:f>
        <x:v>0</x:v>
      </x:c>
      <x:c r="Z21" s="108" t="n">
        <x:f>IF(Z$5=$C21,$F21,0)+IF(AND(Z$5&gt;=$C21,$B21="Commercial"),$D21*$E21,0)</x:f>
        <x:v>0</x:v>
      </x:c>
      <x:c r="AA21" s="108" t="n">
        <x:f>IF(AA$5=$C21,$F21,0)+IF(AND(AA$5&gt;=$C21,$B21="Commercial"),$D21*$E21,0)</x:f>
        <x:v>0</x:v>
      </x:c>
      <x:c r="AB21" s="108" t="n">
        <x:f>IF(AB$5=$C21,$F21,0)+IF(AND(AB$5&gt;=$C21,$B21="Commercial"),$D21*$E21,0)</x:f>
        <x:v>0</x:v>
      </x:c>
      <x:c r="AC21" s="108" t="n">
        <x:f>IF(AC$5=$C21,$F21,0)+IF(AND(AC$5&gt;=$C21,$B21="Commercial"),$D21*$E21,0)</x:f>
        <x:v>0</x:v>
      </x:c>
      <x:c r="AD21" s="108" t="n">
        <x:f>IF(AD$5=$C21,$F21,0)+IF(AND(AD$5&gt;=$C21,$B21="Commercial"),$D21*$E21,0)</x:f>
        <x:v>0</x:v>
      </x:c>
      <x:c r="AE21" s="108" t="n">
        <x:f>IF(AE$5=$C21,$F21,0)+IF(AND(AE$5&gt;=$C21,$B21="Commercial"),$D21*$E21,0)</x:f>
        <x:v>0</x:v>
      </x:c>
      <x:c r="AF21" s="108" t="n">
        <x:f>IF(AF$5=$C21,$F21,0)+IF(AND(AF$5&gt;=$C21,$B21="Commercial"),$D21*$E21,0)</x:f>
        <x:v>0</x:v>
      </x:c>
      <x:c r="AG21" s="108" t="n">
        <x:f>IF(AG$5=$C21,$F21,0)+IF(AND(AG$5&gt;=$C21,$B21="Commercial"),$D21*$E21,0)</x:f>
        <x:v>0</x:v>
      </x:c>
      <x:c r="AH21" s="108" t="n">
        <x:f>IF(AH$5=$C21,$F21,0)+IF(AND(AH$5&gt;=$C21,$B21="Commercial"),$D21*$E21,0)</x:f>
        <x:v>8105</x:v>
      </x:c>
      <x:c r="AI21" s="108" t="n">
        <x:f>IF(AI$5=$C21,$F21,0)+IF(AND(AI$5&gt;=$C21,$B21="Commercial"),$D21*$E21,0)</x:f>
        <x:v>3105</x:v>
      </x:c>
      <x:c r="AJ21" s="108" t="n">
        <x:f>IF(AJ$5=$C21,$F21,0)+IF(AND(AJ$5&gt;=$C21,$B21="Commercial"),$D21*$E21,0)</x:f>
        <x:v>3105</x:v>
      </x:c>
      <x:c r="AK21" s="108" t="n">
        <x:f>IF(AK$5=$C21,$F21,0)+IF(AND(AK$5&gt;=$C21,$B21="Commercial"),$D21*$E21,0)</x:f>
        <x:v>3105</x:v>
      </x:c>
      <x:c r="AL21" s="108" t="n">
        <x:f>IF(AL$5=$C21,$F21,0)+IF(AND(AL$5&gt;=$C21,$B21="Commercial"),$D21*$E21,0)</x:f>
        <x:v>3105</x:v>
      </x:c>
      <x:c r="AM21" s="108" t="n">
        <x:f>IF(AM$5=$C21,$F21,0)+IF(AND(AM$5&gt;=$C21,$B21="Commercial"),$D21*$E21,0)</x:f>
        <x:v>3105</x:v>
      </x:c>
      <x:c r="AN21" s="108" t="n">
        <x:f>IF(AN$5=$C21,$F21,0)+IF(AND(AN$5&gt;=$C21,$B21="Commercial"),$D21*$E21,0)</x:f>
        <x:v>3105</x:v>
      </x:c>
      <x:c r="AO21" s="108" t="n">
        <x:f>IF(AO$5=$C21,$F21,0)+IF(AND(AO$5&gt;=$C21,$B21="Commercial"),$D21*$E21,0)</x:f>
        <x:v>3105</x:v>
      </x:c>
      <x:c r="AP21" s="108" t="n">
        <x:f>IF(AP$5=$C21,$F21,0)+IF(AND(AP$5&gt;=$C21,$B21="Commercial"),$D21*$E21,0)</x:f>
        <x:v>3105</x:v>
      </x:c>
      <x:c r="AQ21" s="108" t="n">
        <x:f>IF(AQ$5=$C21,$F21,0)+IF(AND(AQ$5&gt;=$C21,$B21="Commercial"),$D21*$E21,0)</x:f>
        <x:v>3105</x:v>
      </x:c>
    </x:row>
    <x:row r="22">
      <x:c r="A22" s="98" t="str">
        <x:v>C-15</x:v>
      </x:c>
      <x:c r="B22" s="98" t="str">
        <x:v>Commercial</x:v>
      </x:c>
      <x:c r="C22" s="106" t="n">
        <x:v>28</x:v>
      </x:c>
      <x:c r="D22" s="106" t="n">
        <x:v>45</x:v>
      </x:c>
      <x:c r="E22" s="107" t="n">
        <x:v>69</x:v>
      </x:c>
      <x:c r="F22" s="107" t="n">
        <x:v>5000</x:v>
      </x:c>
      <x:c r="G22" s="98" t="str">
        <x:v>Year-3 new customer</x:v>
      </x:c>
      <x:c r="H22" s="108" t="n">
        <x:f>IF(H$5=$C22,$F22,0)+IF(AND(H$5&gt;=$C22,$B22="Commercial"),$D22*$E22,0)</x:f>
        <x:v>0</x:v>
      </x:c>
      <x:c r="I22" s="108" t="n">
        <x:f>IF(I$5=$C22,$F22,0)+IF(AND(I$5&gt;=$C22,$B22="Commercial"),$D22*$E22,0)</x:f>
        <x:v>0</x:v>
      </x:c>
      <x:c r="J22" s="108" t="n">
        <x:f>IF(J$5=$C22,$F22,0)+IF(AND(J$5&gt;=$C22,$B22="Commercial"),$D22*$E22,0)</x:f>
        <x:v>0</x:v>
      </x:c>
      <x:c r="K22" s="108" t="n">
        <x:f>IF(K$5=$C22,$F22,0)+IF(AND(K$5&gt;=$C22,$B22="Commercial"),$D22*$E22,0)</x:f>
        <x:v>0</x:v>
      </x:c>
      <x:c r="L22" s="108" t="n">
        <x:f>IF(L$5=$C22,$F22,0)+IF(AND(L$5&gt;=$C22,$B22="Commercial"),$D22*$E22,0)</x:f>
        <x:v>0</x:v>
      </x:c>
      <x:c r="M22" s="108" t="n">
        <x:f>IF(M$5=$C22,$F22,0)+IF(AND(M$5&gt;=$C22,$B22="Commercial"),$D22*$E22,0)</x:f>
        <x:v>0</x:v>
      </x:c>
      <x:c r="N22" s="108" t="n">
        <x:f>IF(N$5=$C22,$F22,0)+IF(AND(N$5&gt;=$C22,$B22="Commercial"),$D22*$E22,0)</x:f>
        <x:v>0</x:v>
      </x:c>
      <x:c r="O22" s="108" t="n">
        <x:f>IF(O$5=$C22,$F22,0)+IF(AND(O$5&gt;=$C22,$B22="Commercial"),$D22*$E22,0)</x:f>
        <x:v>0</x:v>
      </x:c>
      <x:c r="P22" s="108" t="n">
        <x:f>IF(P$5=$C22,$F22,0)+IF(AND(P$5&gt;=$C22,$B22="Commercial"),$D22*$E22,0)</x:f>
        <x:v>0</x:v>
      </x:c>
      <x:c r="Q22" s="108" t="n">
        <x:f>IF(Q$5=$C22,$F22,0)+IF(AND(Q$5&gt;=$C22,$B22="Commercial"),$D22*$E22,0)</x:f>
        <x:v>0</x:v>
      </x:c>
      <x:c r="R22" s="108" t="n">
        <x:f>IF(R$5=$C22,$F22,0)+IF(AND(R$5&gt;=$C22,$B22="Commercial"),$D22*$E22,0)</x:f>
        <x:v>0</x:v>
      </x:c>
      <x:c r="S22" s="108" t="n">
        <x:f>IF(S$5=$C22,$F22,0)+IF(AND(S$5&gt;=$C22,$B22="Commercial"),$D22*$E22,0)</x:f>
        <x:v>0</x:v>
      </x:c>
      <x:c r="T22" s="108" t="n">
        <x:f>IF(T$5=$C22,$F22,0)+IF(AND(T$5&gt;=$C22,$B22="Commercial"),$D22*$E22,0)</x:f>
        <x:v>0</x:v>
      </x:c>
      <x:c r="U22" s="108" t="n">
        <x:f>IF(U$5=$C22,$F22,0)+IF(AND(U$5&gt;=$C22,$B22="Commercial"),$D22*$E22,0)</x:f>
        <x:v>0</x:v>
      </x:c>
      <x:c r="V22" s="108" t="n">
        <x:f>IF(V$5=$C22,$F22,0)+IF(AND(V$5&gt;=$C22,$B22="Commercial"),$D22*$E22,0)</x:f>
        <x:v>0</x:v>
      </x:c>
      <x:c r="W22" s="108" t="n">
        <x:f>IF(W$5=$C22,$F22,0)+IF(AND(W$5&gt;=$C22,$B22="Commercial"),$D22*$E22,0)</x:f>
        <x:v>0</x:v>
      </x:c>
      <x:c r="X22" s="108" t="n">
        <x:f>IF(X$5=$C22,$F22,0)+IF(AND(X$5&gt;=$C22,$B22="Commercial"),$D22*$E22,0)</x:f>
        <x:v>0</x:v>
      </x:c>
      <x:c r="Y22" s="108" t="n">
        <x:f>IF(Y$5=$C22,$F22,0)+IF(AND(Y$5&gt;=$C22,$B22="Commercial"),$D22*$E22,0)</x:f>
        <x:v>0</x:v>
      </x:c>
      <x:c r="Z22" s="108" t="n">
        <x:f>IF(Z$5=$C22,$F22,0)+IF(AND(Z$5&gt;=$C22,$B22="Commercial"),$D22*$E22,0)</x:f>
        <x:v>0</x:v>
      </x:c>
      <x:c r="AA22" s="108" t="n">
        <x:f>IF(AA$5=$C22,$F22,0)+IF(AND(AA$5&gt;=$C22,$B22="Commercial"),$D22*$E22,0)</x:f>
        <x:v>0</x:v>
      </x:c>
      <x:c r="AB22" s="108" t="n">
        <x:f>IF(AB$5=$C22,$F22,0)+IF(AND(AB$5&gt;=$C22,$B22="Commercial"),$D22*$E22,0)</x:f>
        <x:v>0</x:v>
      </x:c>
      <x:c r="AC22" s="108" t="n">
        <x:f>IF(AC$5=$C22,$F22,0)+IF(AND(AC$5&gt;=$C22,$B22="Commercial"),$D22*$E22,0)</x:f>
        <x:v>0</x:v>
      </x:c>
      <x:c r="AD22" s="108" t="n">
        <x:f>IF(AD$5=$C22,$F22,0)+IF(AND(AD$5&gt;=$C22,$B22="Commercial"),$D22*$E22,0)</x:f>
        <x:v>0</x:v>
      </x:c>
      <x:c r="AE22" s="108" t="n">
        <x:f>IF(AE$5=$C22,$F22,0)+IF(AND(AE$5&gt;=$C22,$B22="Commercial"),$D22*$E22,0)</x:f>
        <x:v>0</x:v>
      </x:c>
      <x:c r="AF22" s="108" t="n">
        <x:f>IF(AF$5=$C22,$F22,0)+IF(AND(AF$5&gt;=$C22,$B22="Commercial"),$D22*$E22,0)</x:f>
        <x:v>0</x:v>
      </x:c>
      <x:c r="AG22" s="108" t="n">
        <x:f>IF(AG$5=$C22,$F22,0)+IF(AND(AG$5&gt;=$C22,$B22="Commercial"),$D22*$E22,0)</x:f>
        <x:v>0</x:v>
      </x:c>
      <x:c r="AH22" s="108" t="n">
        <x:f>IF(AH$5=$C22,$F22,0)+IF(AND(AH$5&gt;=$C22,$B22="Commercial"),$D22*$E22,0)</x:f>
        <x:v>0</x:v>
      </x:c>
      <x:c r="AI22" s="108" t="n">
        <x:f>IF(AI$5=$C22,$F22,0)+IF(AND(AI$5&gt;=$C22,$B22="Commercial"),$D22*$E22,0)</x:f>
        <x:v>8105</x:v>
      </x:c>
      <x:c r="AJ22" s="108" t="n">
        <x:f>IF(AJ$5=$C22,$F22,0)+IF(AND(AJ$5&gt;=$C22,$B22="Commercial"),$D22*$E22,0)</x:f>
        <x:v>3105</x:v>
      </x:c>
      <x:c r="AK22" s="108" t="n">
        <x:f>IF(AK$5=$C22,$F22,0)+IF(AND(AK$5&gt;=$C22,$B22="Commercial"),$D22*$E22,0)</x:f>
        <x:v>3105</x:v>
      </x:c>
      <x:c r="AL22" s="108" t="n">
        <x:f>IF(AL$5=$C22,$F22,0)+IF(AND(AL$5&gt;=$C22,$B22="Commercial"),$D22*$E22,0)</x:f>
        <x:v>3105</x:v>
      </x:c>
      <x:c r="AM22" s="108" t="n">
        <x:f>IF(AM$5=$C22,$F22,0)+IF(AND(AM$5&gt;=$C22,$B22="Commercial"),$D22*$E22,0)</x:f>
        <x:v>3105</x:v>
      </x:c>
      <x:c r="AN22" s="108" t="n">
        <x:f>IF(AN$5=$C22,$F22,0)+IF(AND(AN$5&gt;=$C22,$B22="Commercial"),$D22*$E22,0)</x:f>
        <x:v>3105</x:v>
      </x:c>
      <x:c r="AO22" s="108" t="n">
        <x:f>IF(AO$5=$C22,$F22,0)+IF(AND(AO$5&gt;=$C22,$B22="Commercial"),$D22*$E22,0)</x:f>
        <x:v>3105</x:v>
      </x:c>
      <x:c r="AP22" s="108" t="n">
        <x:f>IF(AP$5=$C22,$F22,0)+IF(AND(AP$5&gt;=$C22,$B22="Commercial"),$D22*$E22,0)</x:f>
        <x:v>3105</x:v>
      </x:c>
      <x:c r="AQ22" s="108" t="n">
        <x:f>IF(AQ$5=$C22,$F22,0)+IF(AND(AQ$5&gt;=$C22,$B22="Commercial"),$D22*$E22,0)</x:f>
        <x:v>3105</x:v>
      </x:c>
    </x:row>
    <x:row r="23">
      <x:c r="A23" s="98" t="str">
        <x:v>C-16</x:v>
      </x:c>
      <x:c r="B23" s="98" t="str">
        <x:v>Commercial</x:v>
      </x:c>
      <x:c r="C23" s="106" t="n">
        <x:v>29</x:v>
      </x:c>
      <x:c r="D23" s="106" t="n">
        <x:v>45</x:v>
      </x:c>
      <x:c r="E23" s="107" t="n">
        <x:v>69</x:v>
      </x:c>
      <x:c r="F23" s="107" t="n">
        <x:v>5000</x:v>
      </x:c>
      <x:c r="G23" s="98" t="str">
        <x:v>Year-3 new customer</x:v>
      </x:c>
      <x:c r="H23" s="108" t="n">
        <x:f>IF(H$5=$C23,$F23,0)+IF(AND(H$5&gt;=$C23,$B23="Commercial"),$D23*$E23,0)</x:f>
        <x:v>0</x:v>
      </x:c>
      <x:c r="I23" s="108" t="n">
        <x:f>IF(I$5=$C23,$F23,0)+IF(AND(I$5&gt;=$C23,$B23="Commercial"),$D23*$E23,0)</x:f>
        <x:v>0</x:v>
      </x:c>
      <x:c r="J23" s="108" t="n">
        <x:f>IF(J$5=$C23,$F23,0)+IF(AND(J$5&gt;=$C23,$B23="Commercial"),$D23*$E23,0)</x:f>
        <x:v>0</x:v>
      </x:c>
      <x:c r="K23" s="108" t="n">
        <x:f>IF(K$5=$C23,$F23,0)+IF(AND(K$5&gt;=$C23,$B23="Commercial"),$D23*$E23,0)</x:f>
        <x:v>0</x:v>
      </x:c>
      <x:c r="L23" s="108" t="n">
        <x:f>IF(L$5=$C23,$F23,0)+IF(AND(L$5&gt;=$C23,$B23="Commercial"),$D23*$E23,0)</x:f>
        <x:v>0</x:v>
      </x:c>
      <x:c r="M23" s="108" t="n">
        <x:f>IF(M$5=$C23,$F23,0)+IF(AND(M$5&gt;=$C23,$B23="Commercial"),$D23*$E23,0)</x:f>
        <x:v>0</x:v>
      </x:c>
      <x:c r="N23" s="108" t="n">
        <x:f>IF(N$5=$C23,$F23,0)+IF(AND(N$5&gt;=$C23,$B23="Commercial"),$D23*$E23,0)</x:f>
        <x:v>0</x:v>
      </x:c>
      <x:c r="O23" s="108" t="n">
        <x:f>IF(O$5=$C23,$F23,0)+IF(AND(O$5&gt;=$C23,$B23="Commercial"),$D23*$E23,0)</x:f>
        <x:v>0</x:v>
      </x:c>
      <x:c r="P23" s="108" t="n">
        <x:f>IF(P$5=$C23,$F23,0)+IF(AND(P$5&gt;=$C23,$B23="Commercial"),$D23*$E23,0)</x:f>
        <x:v>0</x:v>
      </x:c>
      <x:c r="Q23" s="108" t="n">
        <x:f>IF(Q$5=$C23,$F23,0)+IF(AND(Q$5&gt;=$C23,$B23="Commercial"),$D23*$E23,0)</x:f>
        <x:v>0</x:v>
      </x:c>
      <x:c r="R23" s="108" t="n">
        <x:f>IF(R$5=$C23,$F23,0)+IF(AND(R$5&gt;=$C23,$B23="Commercial"),$D23*$E23,0)</x:f>
        <x:v>0</x:v>
      </x:c>
      <x:c r="S23" s="108" t="n">
        <x:f>IF(S$5=$C23,$F23,0)+IF(AND(S$5&gt;=$C23,$B23="Commercial"),$D23*$E23,0)</x:f>
        <x:v>0</x:v>
      </x:c>
      <x:c r="T23" s="108" t="n">
        <x:f>IF(T$5=$C23,$F23,0)+IF(AND(T$5&gt;=$C23,$B23="Commercial"),$D23*$E23,0)</x:f>
        <x:v>0</x:v>
      </x:c>
      <x:c r="U23" s="108" t="n">
        <x:f>IF(U$5=$C23,$F23,0)+IF(AND(U$5&gt;=$C23,$B23="Commercial"),$D23*$E23,0)</x:f>
        <x:v>0</x:v>
      </x:c>
      <x:c r="V23" s="108" t="n">
        <x:f>IF(V$5=$C23,$F23,0)+IF(AND(V$5&gt;=$C23,$B23="Commercial"),$D23*$E23,0)</x:f>
        <x:v>0</x:v>
      </x:c>
      <x:c r="W23" s="108" t="n">
        <x:f>IF(W$5=$C23,$F23,0)+IF(AND(W$5&gt;=$C23,$B23="Commercial"),$D23*$E23,0)</x:f>
        <x:v>0</x:v>
      </x:c>
      <x:c r="X23" s="108" t="n">
        <x:f>IF(X$5=$C23,$F23,0)+IF(AND(X$5&gt;=$C23,$B23="Commercial"),$D23*$E23,0)</x:f>
        <x:v>0</x:v>
      </x:c>
      <x:c r="Y23" s="108" t="n">
        <x:f>IF(Y$5=$C23,$F23,0)+IF(AND(Y$5&gt;=$C23,$B23="Commercial"),$D23*$E23,0)</x:f>
        <x:v>0</x:v>
      </x:c>
      <x:c r="Z23" s="108" t="n">
        <x:f>IF(Z$5=$C23,$F23,0)+IF(AND(Z$5&gt;=$C23,$B23="Commercial"),$D23*$E23,0)</x:f>
        <x:v>0</x:v>
      </x:c>
      <x:c r="AA23" s="108" t="n">
        <x:f>IF(AA$5=$C23,$F23,0)+IF(AND(AA$5&gt;=$C23,$B23="Commercial"),$D23*$E23,0)</x:f>
        <x:v>0</x:v>
      </x:c>
      <x:c r="AB23" s="108" t="n">
        <x:f>IF(AB$5=$C23,$F23,0)+IF(AND(AB$5&gt;=$C23,$B23="Commercial"),$D23*$E23,0)</x:f>
        <x:v>0</x:v>
      </x:c>
      <x:c r="AC23" s="108" t="n">
        <x:f>IF(AC$5=$C23,$F23,0)+IF(AND(AC$5&gt;=$C23,$B23="Commercial"),$D23*$E23,0)</x:f>
        <x:v>0</x:v>
      </x:c>
      <x:c r="AD23" s="108" t="n">
        <x:f>IF(AD$5=$C23,$F23,0)+IF(AND(AD$5&gt;=$C23,$B23="Commercial"),$D23*$E23,0)</x:f>
        <x:v>0</x:v>
      </x:c>
      <x:c r="AE23" s="108" t="n">
        <x:f>IF(AE$5=$C23,$F23,0)+IF(AND(AE$5&gt;=$C23,$B23="Commercial"),$D23*$E23,0)</x:f>
        <x:v>0</x:v>
      </x:c>
      <x:c r="AF23" s="108" t="n">
        <x:f>IF(AF$5=$C23,$F23,0)+IF(AND(AF$5&gt;=$C23,$B23="Commercial"),$D23*$E23,0)</x:f>
        <x:v>0</x:v>
      </x:c>
      <x:c r="AG23" s="108" t="n">
        <x:f>IF(AG$5=$C23,$F23,0)+IF(AND(AG$5&gt;=$C23,$B23="Commercial"),$D23*$E23,0)</x:f>
        <x:v>0</x:v>
      </x:c>
      <x:c r="AH23" s="108" t="n">
        <x:f>IF(AH$5=$C23,$F23,0)+IF(AND(AH$5&gt;=$C23,$B23="Commercial"),$D23*$E23,0)</x:f>
        <x:v>0</x:v>
      </x:c>
      <x:c r="AI23" s="108" t="n">
        <x:f>IF(AI$5=$C23,$F23,0)+IF(AND(AI$5&gt;=$C23,$B23="Commercial"),$D23*$E23,0)</x:f>
        <x:v>0</x:v>
      </x:c>
      <x:c r="AJ23" s="108" t="n">
        <x:f>IF(AJ$5=$C23,$F23,0)+IF(AND(AJ$5&gt;=$C23,$B23="Commercial"),$D23*$E23,0)</x:f>
        <x:v>8105</x:v>
      </x:c>
      <x:c r="AK23" s="108" t="n">
        <x:f>IF(AK$5=$C23,$F23,0)+IF(AND(AK$5&gt;=$C23,$B23="Commercial"),$D23*$E23,0)</x:f>
        <x:v>3105</x:v>
      </x:c>
      <x:c r="AL23" s="108" t="n">
        <x:f>IF(AL$5=$C23,$F23,0)+IF(AND(AL$5&gt;=$C23,$B23="Commercial"),$D23*$E23,0)</x:f>
        <x:v>3105</x:v>
      </x:c>
      <x:c r="AM23" s="108" t="n">
        <x:f>IF(AM$5=$C23,$F23,0)+IF(AND(AM$5&gt;=$C23,$B23="Commercial"),$D23*$E23,0)</x:f>
        <x:v>3105</x:v>
      </x:c>
      <x:c r="AN23" s="108" t="n">
        <x:f>IF(AN$5=$C23,$F23,0)+IF(AND(AN$5&gt;=$C23,$B23="Commercial"),$D23*$E23,0)</x:f>
        <x:v>3105</x:v>
      </x:c>
      <x:c r="AO23" s="108" t="n">
        <x:f>IF(AO$5=$C23,$F23,0)+IF(AND(AO$5&gt;=$C23,$B23="Commercial"),$D23*$E23,0)</x:f>
        <x:v>3105</x:v>
      </x:c>
      <x:c r="AP23" s="108" t="n">
        <x:f>IF(AP$5=$C23,$F23,0)+IF(AND(AP$5&gt;=$C23,$B23="Commercial"),$D23*$E23,0)</x:f>
        <x:v>3105</x:v>
      </x:c>
      <x:c r="AQ23" s="108" t="n">
        <x:f>IF(AQ$5=$C23,$F23,0)+IF(AND(AQ$5&gt;=$C23,$B23="Commercial"),$D23*$E23,0)</x:f>
        <x:v>3105</x:v>
      </x:c>
    </x:row>
    <x:row r="24">
      <x:c r="A24" s="98" t="str">
        <x:v>C-17</x:v>
      </x:c>
      <x:c r="B24" s="98" t="str">
        <x:v>Commercial</x:v>
      </x:c>
      <x:c r="C24" s="106" t="n">
        <x:v>30</x:v>
      </x:c>
      <x:c r="D24" s="106" t="n">
        <x:v>45</x:v>
      </x:c>
      <x:c r="E24" s="107" t="n">
        <x:v>69</x:v>
      </x:c>
      <x:c r="F24" s="107" t="n">
        <x:v>5000</x:v>
      </x:c>
      <x:c r="G24" s="98" t="str">
        <x:v>Year-3 new customer</x:v>
      </x:c>
      <x:c r="H24" s="108" t="n">
        <x:f>IF(H$5=$C24,$F24,0)+IF(AND(H$5&gt;=$C24,$B24="Commercial"),$D24*$E24,0)</x:f>
        <x:v>0</x:v>
      </x:c>
      <x:c r="I24" s="108" t="n">
        <x:f>IF(I$5=$C24,$F24,0)+IF(AND(I$5&gt;=$C24,$B24="Commercial"),$D24*$E24,0)</x:f>
        <x:v>0</x:v>
      </x:c>
      <x:c r="J24" s="108" t="n">
        <x:f>IF(J$5=$C24,$F24,0)+IF(AND(J$5&gt;=$C24,$B24="Commercial"),$D24*$E24,0)</x:f>
        <x:v>0</x:v>
      </x:c>
      <x:c r="K24" s="108" t="n">
        <x:f>IF(K$5=$C24,$F24,0)+IF(AND(K$5&gt;=$C24,$B24="Commercial"),$D24*$E24,0)</x:f>
        <x:v>0</x:v>
      </x:c>
      <x:c r="L24" s="108" t="n">
        <x:f>IF(L$5=$C24,$F24,0)+IF(AND(L$5&gt;=$C24,$B24="Commercial"),$D24*$E24,0)</x:f>
        <x:v>0</x:v>
      </x:c>
      <x:c r="M24" s="108" t="n">
        <x:f>IF(M$5=$C24,$F24,0)+IF(AND(M$5&gt;=$C24,$B24="Commercial"),$D24*$E24,0)</x:f>
        <x:v>0</x:v>
      </x:c>
      <x:c r="N24" s="108" t="n">
        <x:f>IF(N$5=$C24,$F24,0)+IF(AND(N$5&gt;=$C24,$B24="Commercial"),$D24*$E24,0)</x:f>
        <x:v>0</x:v>
      </x:c>
      <x:c r="O24" s="108" t="n">
        <x:f>IF(O$5=$C24,$F24,0)+IF(AND(O$5&gt;=$C24,$B24="Commercial"),$D24*$E24,0)</x:f>
        <x:v>0</x:v>
      </x:c>
      <x:c r="P24" s="108" t="n">
        <x:f>IF(P$5=$C24,$F24,0)+IF(AND(P$5&gt;=$C24,$B24="Commercial"),$D24*$E24,0)</x:f>
        <x:v>0</x:v>
      </x:c>
      <x:c r="Q24" s="108" t="n">
        <x:f>IF(Q$5=$C24,$F24,0)+IF(AND(Q$5&gt;=$C24,$B24="Commercial"),$D24*$E24,0)</x:f>
        <x:v>0</x:v>
      </x:c>
      <x:c r="R24" s="108" t="n">
        <x:f>IF(R$5=$C24,$F24,0)+IF(AND(R$5&gt;=$C24,$B24="Commercial"),$D24*$E24,0)</x:f>
        <x:v>0</x:v>
      </x:c>
      <x:c r="S24" s="108" t="n">
        <x:f>IF(S$5=$C24,$F24,0)+IF(AND(S$5&gt;=$C24,$B24="Commercial"),$D24*$E24,0)</x:f>
        <x:v>0</x:v>
      </x:c>
      <x:c r="T24" s="108" t="n">
        <x:f>IF(T$5=$C24,$F24,0)+IF(AND(T$5&gt;=$C24,$B24="Commercial"),$D24*$E24,0)</x:f>
        <x:v>0</x:v>
      </x:c>
      <x:c r="U24" s="108" t="n">
        <x:f>IF(U$5=$C24,$F24,0)+IF(AND(U$5&gt;=$C24,$B24="Commercial"),$D24*$E24,0)</x:f>
        <x:v>0</x:v>
      </x:c>
      <x:c r="V24" s="108" t="n">
        <x:f>IF(V$5=$C24,$F24,0)+IF(AND(V$5&gt;=$C24,$B24="Commercial"),$D24*$E24,0)</x:f>
        <x:v>0</x:v>
      </x:c>
      <x:c r="W24" s="108" t="n">
        <x:f>IF(W$5=$C24,$F24,0)+IF(AND(W$5&gt;=$C24,$B24="Commercial"),$D24*$E24,0)</x:f>
        <x:v>0</x:v>
      </x:c>
      <x:c r="X24" s="108" t="n">
        <x:f>IF(X$5=$C24,$F24,0)+IF(AND(X$5&gt;=$C24,$B24="Commercial"),$D24*$E24,0)</x:f>
        <x:v>0</x:v>
      </x:c>
      <x:c r="Y24" s="108" t="n">
        <x:f>IF(Y$5=$C24,$F24,0)+IF(AND(Y$5&gt;=$C24,$B24="Commercial"),$D24*$E24,0)</x:f>
        <x:v>0</x:v>
      </x:c>
      <x:c r="Z24" s="108" t="n">
        <x:f>IF(Z$5=$C24,$F24,0)+IF(AND(Z$5&gt;=$C24,$B24="Commercial"),$D24*$E24,0)</x:f>
        <x:v>0</x:v>
      </x:c>
      <x:c r="AA24" s="108" t="n">
        <x:f>IF(AA$5=$C24,$F24,0)+IF(AND(AA$5&gt;=$C24,$B24="Commercial"),$D24*$E24,0)</x:f>
        <x:v>0</x:v>
      </x:c>
      <x:c r="AB24" s="108" t="n">
        <x:f>IF(AB$5=$C24,$F24,0)+IF(AND(AB$5&gt;=$C24,$B24="Commercial"),$D24*$E24,0)</x:f>
        <x:v>0</x:v>
      </x:c>
      <x:c r="AC24" s="108" t="n">
        <x:f>IF(AC$5=$C24,$F24,0)+IF(AND(AC$5&gt;=$C24,$B24="Commercial"),$D24*$E24,0)</x:f>
        <x:v>0</x:v>
      </x:c>
      <x:c r="AD24" s="108" t="n">
        <x:f>IF(AD$5=$C24,$F24,0)+IF(AND(AD$5&gt;=$C24,$B24="Commercial"),$D24*$E24,0)</x:f>
        <x:v>0</x:v>
      </x:c>
      <x:c r="AE24" s="108" t="n">
        <x:f>IF(AE$5=$C24,$F24,0)+IF(AND(AE$5&gt;=$C24,$B24="Commercial"),$D24*$E24,0)</x:f>
        <x:v>0</x:v>
      </x:c>
      <x:c r="AF24" s="108" t="n">
        <x:f>IF(AF$5=$C24,$F24,0)+IF(AND(AF$5&gt;=$C24,$B24="Commercial"),$D24*$E24,0)</x:f>
        <x:v>0</x:v>
      </x:c>
      <x:c r="AG24" s="108" t="n">
        <x:f>IF(AG$5=$C24,$F24,0)+IF(AND(AG$5&gt;=$C24,$B24="Commercial"),$D24*$E24,0)</x:f>
        <x:v>0</x:v>
      </x:c>
      <x:c r="AH24" s="108" t="n">
        <x:f>IF(AH$5=$C24,$F24,0)+IF(AND(AH$5&gt;=$C24,$B24="Commercial"),$D24*$E24,0)</x:f>
        <x:v>0</x:v>
      </x:c>
      <x:c r="AI24" s="108" t="n">
        <x:f>IF(AI$5=$C24,$F24,0)+IF(AND(AI$5&gt;=$C24,$B24="Commercial"),$D24*$E24,0)</x:f>
        <x:v>0</x:v>
      </x:c>
      <x:c r="AJ24" s="108" t="n">
        <x:f>IF(AJ$5=$C24,$F24,0)+IF(AND(AJ$5&gt;=$C24,$B24="Commercial"),$D24*$E24,0)</x:f>
        <x:v>0</x:v>
      </x:c>
      <x:c r="AK24" s="108" t="n">
        <x:f>IF(AK$5=$C24,$F24,0)+IF(AND(AK$5&gt;=$C24,$B24="Commercial"),$D24*$E24,0)</x:f>
        <x:v>8105</x:v>
      </x:c>
      <x:c r="AL24" s="108" t="n">
        <x:f>IF(AL$5=$C24,$F24,0)+IF(AND(AL$5&gt;=$C24,$B24="Commercial"),$D24*$E24,0)</x:f>
        <x:v>3105</x:v>
      </x:c>
      <x:c r="AM24" s="108" t="n">
        <x:f>IF(AM$5=$C24,$F24,0)+IF(AND(AM$5&gt;=$C24,$B24="Commercial"),$D24*$E24,0)</x:f>
        <x:v>3105</x:v>
      </x:c>
      <x:c r="AN24" s="108" t="n">
        <x:f>IF(AN$5=$C24,$F24,0)+IF(AND(AN$5&gt;=$C24,$B24="Commercial"),$D24*$E24,0)</x:f>
        <x:v>3105</x:v>
      </x:c>
      <x:c r="AO24" s="108" t="n">
        <x:f>IF(AO$5=$C24,$F24,0)+IF(AND(AO$5&gt;=$C24,$B24="Commercial"),$D24*$E24,0)</x:f>
        <x:v>3105</x:v>
      </x:c>
      <x:c r="AP24" s="108" t="n">
        <x:f>IF(AP$5=$C24,$F24,0)+IF(AND(AP$5&gt;=$C24,$B24="Commercial"),$D24*$E24,0)</x:f>
        <x:v>3105</x:v>
      </x:c>
      <x:c r="AQ24" s="108" t="n">
        <x:f>IF(AQ$5=$C24,$F24,0)+IF(AND(AQ$5&gt;=$C24,$B24="Commercial"),$D24*$E24,0)</x:f>
        <x:v>3105</x:v>
      </x:c>
    </x:row>
    <x:row r="25">
      <x:c r="A25" s="98" t="str">
        <x:v>C-18</x:v>
      </x:c>
      <x:c r="B25" s="98" t="str">
        <x:v>Commercial</x:v>
      </x:c>
      <x:c r="C25" s="106" t="n">
        <x:v>31</x:v>
      </x:c>
      <x:c r="D25" s="106" t="n">
        <x:v>45</x:v>
      </x:c>
      <x:c r="E25" s="107" t="n">
        <x:v>69</x:v>
      </x:c>
      <x:c r="F25" s="107" t="n">
        <x:v>5000</x:v>
      </x:c>
      <x:c r="G25" s="98" t="str">
        <x:v>Year-3 new customer</x:v>
      </x:c>
      <x:c r="H25" s="108" t="n">
        <x:f>IF(H$5=$C25,$F25,0)+IF(AND(H$5&gt;=$C25,$B25="Commercial"),$D25*$E25,0)</x:f>
        <x:v>0</x:v>
      </x:c>
      <x:c r="I25" s="108" t="n">
        <x:f>IF(I$5=$C25,$F25,0)+IF(AND(I$5&gt;=$C25,$B25="Commercial"),$D25*$E25,0)</x:f>
        <x:v>0</x:v>
      </x:c>
      <x:c r="J25" s="108" t="n">
        <x:f>IF(J$5=$C25,$F25,0)+IF(AND(J$5&gt;=$C25,$B25="Commercial"),$D25*$E25,0)</x:f>
        <x:v>0</x:v>
      </x:c>
      <x:c r="K25" s="108" t="n">
        <x:f>IF(K$5=$C25,$F25,0)+IF(AND(K$5&gt;=$C25,$B25="Commercial"),$D25*$E25,0)</x:f>
        <x:v>0</x:v>
      </x:c>
      <x:c r="L25" s="108" t="n">
        <x:f>IF(L$5=$C25,$F25,0)+IF(AND(L$5&gt;=$C25,$B25="Commercial"),$D25*$E25,0)</x:f>
        <x:v>0</x:v>
      </x:c>
      <x:c r="M25" s="108" t="n">
        <x:f>IF(M$5=$C25,$F25,0)+IF(AND(M$5&gt;=$C25,$B25="Commercial"),$D25*$E25,0)</x:f>
        <x:v>0</x:v>
      </x:c>
      <x:c r="N25" s="108" t="n">
        <x:f>IF(N$5=$C25,$F25,0)+IF(AND(N$5&gt;=$C25,$B25="Commercial"),$D25*$E25,0)</x:f>
        <x:v>0</x:v>
      </x:c>
      <x:c r="O25" s="108" t="n">
        <x:f>IF(O$5=$C25,$F25,0)+IF(AND(O$5&gt;=$C25,$B25="Commercial"),$D25*$E25,0)</x:f>
        <x:v>0</x:v>
      </x:c>
      <x:c r="P25" s="108" t="n">
        <x:f>IF(P$5=$C25,$F25,0)+IF(AND(P$5&gt;=$C25,$B25="Commercial"),$D25*$E25,0)</x:f>
        <x:v>0</x:v>
      </x:c>
      <x:c r="Q25" s="108" t="n">
        <x:f>IF(Q$5=$C25,$F25,0)+IF(AND(Q$5&gt;=$C25,$B25="Commercial"),$D25*$E25,0)</x:f>
        <x:v>0</x:v>
      </x:c>
      <x:c r="R25" s="108" t="n">
        <x:f>IF(R$5=$C25,$F25,0)+IF(AND(R$5&gt;=$C25,$B25="Commercial"),$D25*$E25,0)</x:f>
        <x:v>0</x:v>
      </x:c>
      <x:c r="S25" s="108" t="n">
        <x:f>IF(S$5=$C25,$F25,0)+IF(AND(S$5&gt;=$C25,$B25="Commercial"),$D25*$E25,0)</x:f>
        <x:v>0</x:v>
      </x:c>
      <x:c r="T25" s="108" t="n">
        <x:f>IF(T$5=$C25,$F25,0)+IF(AND(T$5&gt;=$C25,$B25="Commercial"),$D25*$E25,0)</x:f>
        <x:v>0</x:v>
      </x:c>
      <x:c r="U25" s="108" t="n">
        <x:f>IF(U$5=$C25,$F25,0)+IF(AND(U$5&gt;=$C25,$B25="Commercial"),$D25*$E25,0)</x:f>
        <x:v>0</x:v>
      </x:c>
      <x:c r="V25" s="108" t="n">
        <x:f>IF(V$5=$C25,$F25,0)+IF(AND(V$5&gt;=$C25,$B25="Commercial"),$D25*$E25,0)</x:f>
        <x:v>0</x:v>
      </x:c>
      <x:c r="W25" s="108" t="n">
        <x:f>IF(W$5=$C25,$F25,0)+IF(AND(W$5&gt;=$C25,$B25="Commercial"),$D25*$E25,0)</x:f>
        <x:v>0</x:v>
      </x:c>
      <x:c r="X25" s="108" t="n">
        <x:f>IF(X$5=$C25,$F25,0)+IF(AND(X$5&gt;=$C25,$B25="Commercial"),$D25*$E25,0)</x:f>
        <x:v>0</x:v>
      </x:c>
      <x:c r="Y25" s="108" t="n">
        <x:f>IF(Y$5=$C25,$F25,0)+IF(AND(Y$5&gt;=$C25,$B25="Commercial"),$D25*$E25,0)</x:f>
        <x:v>0</x:v>
      </x:c>
      <x:c r="Z25" s="108" t="n">
        <x:f>IF(Z$5=$C25,$F25,0)+IF(AND(Z$5&gt;=$C25,$B25="Commercial"),$D25*$E25,0)</x:f>
        <x:v>0</x:v>
      </x:c>
      <x:c r="AA25" s="108" t="n">
        <x:f>IF(AA$5=$C25,$F25,0)+IF(AND(AA$5&gt;=$C25,$B25="Commercial"),$D25*$E25,0)</x:f>
        <x:v>0</x:v>
      </x:c>
      <x:c r="AB25" s="108" t="n">
        <x:f>IF(AB$5=$C25,$F25,0)+IF(AND(AB$5&gt;=$C25,$B25="Commercial"),$D25*$E25,0)</x:f>
        <x:v>0</x:v>
      </x:c>
      <x:c r="AC25" s="108" t="n">
        <x:f>IF(AC$5=$C25,$F25,0)+IF(AND(AC$5&gt;=$C25,$B25="Commercial"),$D25*$E25,0)</x:f>
        <x:v>0</x:v>
      </x:c>
      <x:c r="AD25" s="108" t="n">
        <x:f>IF(AD$5=$C25,$F25,0)+IF(AND(AD$5&gt;=$C25,$B25="Commercial"),$D25*$E25,0)</x:f>
        <x:v>0</x:v>
      </x:c>
      <x:c r="AE25" s="108" t="n">
        <x:f>IF(AE$5=$C25,$F25,0)+IF(AND(AE$5&gt;=$C25,$B25="Commercial"),$D25*$E25,0)</x:f>
        <x:v>0</x:v>
      </x:c>
      <x:c r="AF25" s="108" t="n">
        <x:f>IF(AF$5=$C25,$F25,0)+IF(AND(AF$5&gt;=$C25,$B25="Commercial"),$D25*$E25,0)</x:f>
        <x:v>0</x:v>
      </x:c>
      <x:c r="AG25" s="108" t="n">
        <x:f>IF(AG$5=$C25,$F25,0)+IF(AND(AG$5&gt;=$C25,$B25="Commercial"),$D25*$E25,0)</x:f>
        <x:v>0</x:v>
      </x:c>
      <x:c r="AH25" s="108" t="n">
        <x:f>IF(AH$5=$C25,$F25,0)+IF(AND(AH$5&gt;=$C25,$B25="Commercial"),$D25*$E25,0)</x:f>
        <x:v>0</x:v>
      </x:c>
      <x:c r="AI25" s="108" t="n">
        <x:f>IF(AI$5=$C25,$F25,0)+IF(AND(AI$5&gt;=$C25,$B25="Commercial"),$D25*$E25,0)</x:f>
        <x:v>0</x:v>
      </x:c>
      <x:c r="AJ25" s="108" t="n">
        <x:f>IF(AJ$5=$C25,$F25,0)+IF(AND(AJ$5&gt;=$C25,$B25="Commercial"),$D25*$E25,0)</x:f>
        <x:v>0</x:v>
      </x:c>
      <x:c r="AK25" s="108" t="n">
        <x:f>IF(AK$5=$C25,$F25,0)+IF(AND(AK$5&gt;=$C25,$B25="Commercial"),$D25*$E25,0)</x:f>
        <x:v>0</x:v>
      </x:c>
      <x:c r="AL25" s="108" t="n">
        <x:f>IF(AL$5=$C25,$F25,0)+IF(AND(AL$5&gt;=$C25,$B25="Commercial"),$D25*$E25,0)</x:f>
        <x:v>8105</x:v>
      </x:c>
      <x:c r="AM25" s="108" t="n">
        <x:f>IF(AM$5=$C25,$F25,0)+IF(AND(AM$5&gt;=$C25,$B25="Commercial"),$D25*$E25,0)</x:f>
        <x:v>3105</x:v>
      </x:c>
      <x:c r="AN25" s="108" t="n">
        <x:f>IF(AN$5=$C25,$F25,0)+IF(AND(AN$5&gt;=$C25,$B25="Commercial"),$D25*$E25,0)</x:f>
        <x:v>3105</x:v>
      </x:c>
      <x:c r="AO25" s="108" t="n">
        <x:f>IF(AO$5=$C25,$F25,0)+IF(AND(AO$5&gt;=$C25,$B25="Commercial"),$D25*$E25,0)</x:f>
        <x:v>3105</x:v>
      </x:c>
      <x:c r="AP25" s="108" t="n">
        <x:f>IF(AP$5=$C25,$F25,0)+IF(AND(AP$5&gt;=$C25,$B25="Commercial"),$D25*$E25,0)</x:f>
        <x:v>3105</x:v>
      </x:c>
      <x:c r="AQ25" s="108" t="n">
        <x:f>IF(AQ$5=$C25,$F25,0)+IF(AND(AQ$5&gt;=$C25,$B25="Commercial"),$D25*$E25,0)</x:f>
        <x:v>3105</x:v>
      </x:c>
    </x:row>
    <x:row r="26">
      <x:c r="A26" s="98" t="str">
        <x:v>C-19</x:v>
      </x:c>
      <x:c r="B26" s="98" t="str">
        <x:v>Commercial</x:v>
      </x:c>
      <x:c r="C26" s="106" t="n">
        <x:v>32</x:v>
      </x:c>
      <x:c r="D26" s="106" t="n">
        <x:v>45</x:v>
      </x:c>
      <x:c r="E26" s="107" t="n">
        <x:v>69</x:v>
      </x:c>
      <x:c r="F26" s="107" t="n">
        <x:v>5000</x:v>
      </x:c>
      <x:c r="G26" s="98" t="str">
        <x:v>Year-3 new customer</x:v>
      </x:c>
      <x:c r="H26" s="108" t="n">
        <x:f>IF(H$5=$C26,$F26,0)+IF(AND(H$5&gt;=$C26,$B26="Commercial"),$D26*$E26,0)</x:f>
        <x:v>0</x:v>
      </x:c>
      <x:c r="I26" s="108" t="n">
        <x:f>IF(I$5=$C26,$F26,0)+IF(AND(I$5&gt;=$C26,$B26="Commercial"),$D26*$E26,0)</x:f>
        <x:v>0</x:v>
      </x:c>
      <x:c r="J26" s="108" t="n">
        <x:f>IF(J$5=$C26,$F26,0)+IF(AND(J$5&gt;=$C26,$B26="Commercial"),$D26*$E26,0)</x:f>
        <x:v>0</x:v>
      </x:c>
      <x:c r="K26" s="108" t="n">
        <x:f>IF(K$5=$C26,$F26,0)+IF(AND(K$5&gt;=$C26,$B26="Commercial"),$D26*$E26,0)</x:f>
        <x:v>0</x:v>
      </x:c>
      <x:c r="L26" s="108" t="n">
        <x:f>IF(L$5=$C26,$F26,0)+IF(AND(L$5&gt;=$C26,$B26="Commercial"),$D26*$E26,0)</x:f>
        <x:v>0</x:v>
      </x:c>
      <x:c r="M26" s="108" t="n">
        <x:f>IF(M$5=$C26,$F26,0)+IF(AND(M$5&gt;=$C26,$B26="Commercial"),$D26*$E26,0)</x:f>
        <x:v>0</x:v>
      </x:c>
      <x:c r="N26" s="108" t="n">
        <x:f>IF(N$5=$C26,$F26,0)+IF(AND(N$5&gt;=$C26,$B26="Commercial"),$D26*$E26,0)</x:f>
        <x:v>0</x:v>
      </x:c>
      <x:c r="O26" s="108" t="n">
        <x:f>IF(O$5=$C26,$F26,0)+IF(AND(O$5&gt;=$C26,$B26="Commercial"),$D26*$E26,0)</x:f>
        <x:v>0</x:v>
      </x:c>
      <x:c r="P26" s="108" t="n">
        <x:f>IF(P$5=$C26,$F26,0)+IF(AND(P$5&gt;=$C26,$B26="Commercial"),$D26*$E26,0)</x:f>
        <x:v>0</x:v>
      </x:c>
      <x:c r="Q26" s="108" t="n">
        <x:f>IF(Q$5=$C26,$F26,0)+IF(AND(Q$5&gt;=$C26,$B26="Commercial"),$D26*$E26,0)</x:f>
        <x:v>0</x:v>
      </x:c>
      <x:c r="R26" s="108" t="n">
        <x:f>IF(R$5=$C26,$F26,0)+IF(AND(R$5&gt;=$C26,$B26="Commercial"),$D26*$E26,0)</x:f>
        <x:v>0</x:v>
      </x:c>
      <x:c r="S26" s="108" t="n">
        <x:f>IF(S$5=$C26,$F26,0)+IF(AND(S$5&gt;=$C26,$B26="Commercial"),$D26*$E26,0)</x:f>
        <x:v>0</x:v>
      </x:c>
      <x:c r="T26" s="108" t="n">
        <x:f>IF(T$5=$C26,$F26,0)+IF(AND(T$5&gt;=$C26,$B26="Commercial"),$D26*$E26,0)</x:f>
        <x:v>0</x:v>
      </x:c>
      <x:c r="U26" s="108" t="n">
        <x:f>IF(U$5=$C26,$F26,0)+IF(AND(U$5&gt;=$C26,$B26="Commercial"),$D26*$E26,0)</x:f>
        <x:v>0</x:v>
      </x:c>
      <x:c r="V26" s="108" t="n">
        <x:f>IF(V$5=$C26,$F26,0)+IF(AND(V$5&gt;=$C26,$B26="Commercial"),$D26*$E26,0)</x:f>
        <x:v>0</x:v>
      </x:c>
      <x:c r="W26" s="108" t="n">
        <x:f>IF(W$5=$C26,$F26,0)+IF(AND(W$5&gt;=$C26,$B26="Commercial"),$D26*$E26,0)</x:f>
        <x:v>0</x:v>
      </x:c>
      <x:c r="X26" s="108" t="n">
        <x:f>IF(X$5=$C26,$F26,0)+IF(AND(X$5&gt;=$C26,$B26="Commercial"),$D26*$E26,0)</x:f>
        <x:v>0</x:v>
      </x:c>
      <x:c r="Y26" s="108" t="n">
        <x:f>IF(Y$5=$C26,$F26,0)+IF(AND(Y$5&gt;=$C26,$B26="Commercial"),$D26*$E26,0)</x:f>
        <x:v>0</x:v>
      </x:c>
      <x:c r="Z26" s="108" t="n">
        <x:f>IF(Z$5=$C26,$F26,0)+IF(AND(Z$5&gt;=$C26,$B26="Commercial"),$D26*$E26,0)</x:f>
        <x:v>0</x:v>
      </x:c>
      <x:c r="AA26" s="108" t="n">
        <x:f>IF(AA$5=$C26,$F26,0)+IF(AND(AA$5&gt;=$C26,$B26="Commercial"),$D26*$E26,0)</x:f>
        <x:v>0</x:v>
      </x:c>
      <x:c r="AB26" s="108" t="n">
        <x:f>IF(AB$5=$C26,$F26,0)+IF(AND(AB$5&gt;=$C26,$B26="Commercial"),$D26*$E26,0)</x:f>
        <x:v>0</x:v>
      </x:c>
      <x:c r="AC26" s="108" t="n">
        <x:f>IF(AC$5=$C26,$F26,0)+IF(AND(AC$5&gt;=$C26,$B26="Commercial"),$D26*$E26,0)</x:f>
        <x:v>0</x:v>
      </x:c>
      <x:c r="AD26" s="108" t="n">
        <x:f>IF(AD$5=$C26,$F26,0)+IF(AND(AD$5&gt;=$C26,$B26="Commercial"),$D26*$E26,0)</x:f>
        <x:v>0</x:v>
      </x:c>
      <x:c r="AE26" s="108" t="n">
        <x:f>IF(AE$5=$C26,$F26,0)+IF(AND(AE$5&gt;=$C26,$B26="Commercial"),$D26*$E26,0)</x:f>
        <x:v>0</x:v>
      </x:c>
      <x:c r="AF26" s="108" t="n">
        <x:f>IF(AF$5=$C26,$F26,0)+IF(AND(AF$5&gt;=$C26,$B26="Commercial"),$D26*$E26,0)</x:f>
        <x:v>0</x:v>
      </x:c>
      <x:c r="AG26" s="108" t="n">
        <x:f>IF(AG$5=$C26,$F26,0)+IF(AND(AG$5&gt;=$C26,$B26="Commercial"),$D26*$E26,0)</x:f>
        <x:v>0</x:v>
      </x:c>
      <x:c r="AH26" s="108" t="n">
        <x:f>IF(AH$5=$C26,$F26,0)+IF(AND(AH$5&gt;=$C26,$B26="Commercial"),$D26*$E26,0)</x:f>
        <x:v>0</x:v>
      </x:c>
      <x:c r="AI26" s="108" t="n">
        <x:f>IF(AI$5=$C26,$F26,0)+IF(AND(AI$5&gt;=$C26,$B26="Commercial"),$D26*$E26,0)</x:f>
        <x:v>0</x:v>
      </x:c>
      <x:c r="AJ26" s="108" t="n">
        <x:f>IF(AJ$5=$C26,$F26,0)+IF(AND(AJ$5&gt;=$C26,$B26="Commercial"),$D26*$E26,0)</x:f>
        <x:v>0</x:v>
      </x:c>
      <x:c r="AK26" s="108" t="n">
        <x:f>IF(AK$5=$C26,$F26,0)+IF(AND(AK$5&gt;=$C26,$B26="Commercial"),$D26*$E26,0)</x:f>
        <x:v>0</x:v>
      </x:c>
      <x:c r="AL26" s="108" t="n">
        <x:f>IF(AL$5=$C26,$F26,0)+IF(AND(AL$5&gt;=$C26,$B26="Commercial"),$D26*$E26,0)</x:f>
        <x:v>0</x:v>
      </x:c>
      <x:c r="AM26" s="108" t="n">
        <x:f>IF(AM$5=$C26,$F26,0)+IF(AND(AM$5&gt;=$C26,$B26="Commercial"),$D26*$E26,0)</x:f>
        <x:v>8105</x:v>
      </x:c>
      <x:c r="AN26" s="108" t="n">
        <x:f>IF(AN$5=$C26,$F26,0)+IF(AND(AN$5&gt;=$C26,$B26="Commercial"),$D26*$E26,0)</x:f>
        <x:v>3105</x:v>
      </x:c>
      <x:c r="AO26" s="108" t="n">
        <x:f>IF(AO$5=$C26,$F26,0)+IF(AND(AO$5&gt;=$C26,$B26="Commercial"),$D26*$E26,0)</x:f>
        <x:v>3105</x:v>
      </x:c>
      <x:c r="AP26" s="108" t="n">
        <x:f>IF(AP$5=$C26,$F26,0)+IF(AND(AP$5&gt;=$C26,$B26="Commercial"),$D26*$E26,0)</x:f>
        <x:v>3105</x:v>
      </x:c>
      <x:c r="AQ26" s="108" t="n">
        <x:f>IF(AQ$5=$C26,$F26,0)+IF(AND(AQ$5&gt;=$C26,$B26="Commercial"),$D26*$E26,0)</x:f>
        <x:v>3105</x:v>
      </x:c>
    </x:row>
    <x:row r="27">
      <x:c r="A27" s="98" t="str">
        <x:v>C-20</x:v>
      </x:c>
      <x:c r="B27" s="98" t="str">
        <x:v>Commercial</x:v>
      </x:c>
      <x:c r="C27" s="106" t="n">
        <x:v>33</x:v>
      </x:c>
      <x:c r="D27" s="106" t="n">
        <x:v>45</x:v>
      </x:c>
      <x:c r="E27" s="107" t="n">
        <x:v>69</x:v>
      </x:c>
      <x:c r="F27" s="107" t="n">
        <x:v>5000</x:v>
      </x:c>
      <x:c r="G27" s="98" t="str">
        <x:v>Year-3 new customer</x:v>
      </x:c>
      <x:c r="H27" s="108" t="n">
        <x:f>IF(H$5=$C27,$F27,0)+IF(AND(H$5&gt;=$C27,$B27="Commercial"),$D27*$E27,0)</x:f>
        <x:v>0</x:v>
      </x:c>
      <x:c r="I27" s="108" t="n">
        <x:f>IF(I$5=$C27,$F27,0)+IF(AND(I$5&gt;=$C27,$B27="Commercial"),$D27*$E27,0)</x:f>
        <x:v>0</x:v>
      </x:c>
      <x:c r="J27" s="108" t="n">
        <x:f>IF(J$5=$C27,$F27,0)+IF(AND(J$5&gt;=$C27,$B27="Commercial"),$D27*$E27,0)</x:f>
        <x:v>0</x:v>
      </x:c>
      <x:c r="K27" s="108" t="n">
        <x:f>IF(K$5=$C27,$F27,0)+IF(AND(K$5&gt;=$C27,$B27="Commercial"),$D27*$E27,0)</x:f>
        <x:v>0</x:v>
      </x:c>
      <x:c r="L27" s="108" t="n">
        <x:f>IF(L$5=$C27,$F27,0)+IF(AND(L$5&gt;=$C27,$B27="Commercial"),$D27*$E27,0)</x:f>
        <x:v>0</x:v>
      </x:c>
      <x:c r="M27" s="108" t="n">
        <x:f>IF(M$5=$C27,$F27,0)+IF(AND(M$5&gt;=$C27,$B27="Commercial"),$D27*$E27,0)</x:f>
        <x:v>0</x:v>
      </x:c>
      <x:c r="N27" s="108" t="n">
        <x:f>IF(N$5=$C27,$F27,0)+IF(AND(N$5&gt;=$C27,$B27="Commercial"),$D27*$E27,0)</x:f>
        <x:v>0</x:v>
      </x:c>
      <x:c r="O27" s="108" t="n">
        <x:f>IF(O$5=$C27,$F27,0)+IF(AND(O$5&gt;=$C27,$B27="Commercial"),$D27*$E27,0)</x:f>
        <x:v>0</x:v>
      </x:c>
      <x:c r="P27" s="108" t="n">
        <x:f>IF(P$5=$C27,$F27,0)+IF(AND(P$5&gt;=$C27,$B27="Commercial"),$D27*$E27,0)</x:f>
        <x:v>0</x:v>
      </x:c>
      <x:c r="Q27" s="108" t="n">
        <x:f>IF(Q$5=$C27,$F27,0)+IF(AND(Q$5&gt;=$C27,$B27="Commercial"),$D27*$E27,0)</x:f>
        <x:v>0</x:v>
      </x:c>
      <x:c r="R27" s="108" t="n">
        <x:f>IF(R$5=$C27,$F27,0)+IF(AND(R$5&gt;=$C27,$B27="Commercial"),$D27*$E27,0)</x:f>
        <x:v>0</x:v>
      </x:c>
      <x:c r="S27" s="108" t="n">
        <x:f>IF(S$5=$C27,$F27,0)+IF(AND(S$5&gt;=$C27,$B27="Commercial"),$D27*$E27,0)</x:f>
        <x:v>0</x:v>
      </x:c>
      <x:c r="T27" s="108" t="n">
        <x:f>IF(T$5=$C27,$F27,0)+IF(AND(T$5&gt;=$C27,$B27="Commercial"),$D27*$E27,0)</x:f>
        <x:v>0</x:v>
      </x:c>
      <x:c r="U27" s="108" t="n">
        <x:f>IF(U$5=$C27,$F27,0)+IF(AND(U$5&gt;=$C27,$B27="Commercial"),$D27*$E27,0)</x:f>
        <x:v>0</x:v>
      </x:c>
      <x:c r="V27" s="108" t="n">
        <x:f>IF(V$5=$C27,$F27,0)+IF(AND(V$5&gt;=$C27,$B27="Commercial"),$D27*$E27,0)</x:f>
        <x:v>0</x:v>
      </x:c>
      <x:c r="W27" s="108" t="n">
        <x:f>IF(W$5=$C27,$F27,0)+IF(AND(W$5&gt;=$C27,$B27="Commercial"),$D27*$E27,0)</x:f>
        <x:v>0</x:v>
      </x:c>
      <x:c r="X27" s="108" t="n">
        <x:f>IF(X$5=$C27,$F27,0)+IF(AND(X$5&gt;=$C27,$B27="Commercial"),$D27*$E27,0)</x:f>
        <x:v>0</x:v>
      </x:c>
      <x:c r="Y27" s="108" t="n">
        <x:f>IF(Y$5=$C27,$F27,0)+IF(AND(Y$5&gt;=$C27,$B27="Commercial"),$D27*$E27,0)</x:f>
        <x:v>0</x:v>
      </x:c>
      <x:c r="Z27" s="108" t="n">
        <x:f>IF(Z$5=$C27,$F27,0)+IF(AND(Z$5&gt;=$C27,$B27="Commercial"),$D27*$E27,0)</x:f>
        <x:v>0</x:v>
      </x:c>
      <x:c r="AA27" s="108" t="n">
        <x:f>IF(AA$5=$C27,$F27,0)+IF(AND(AA$5&gt;=$C27,$B27="Commercial"),$D27*$E27,0)</x:f>
        <x:v>0</x:v>
      </x:c>
      <x:c r="AB27" s="108" t="n">
        <x:f>IF(AB$5=$C27,$F27,0)+IF(AND(AB$5&gt;=$C27,$B27="Commercial"),$D27*$E27,0)</x:f>
        <x:v>0</x:v>
      </x:c>
      <x:c r="AC27" s="108" t="n">
        <x:f>IF(AC$5=$C27,$F27,0)+IF(AND(AC$5&gt;=$C27,$B27="Commercial"),$D27*$E27,0)</x:f>
        <x:v>0</x:v>
      </x:c>
      <x:c r="AD27" s="108" t="n">
        <x:f>IF(AD$5=$C27,$F27,0)+IF(AND(AD$5&gt;=$C27,$B27="Commercial"),$D27*$E27,0)</x:f>
        <x:v>0</x:v>
      </x:c>
      <x:c r="AE27" s="108" t="n">
        <x:f>IF(AE$5=$C27,$F27,0)+IF(AND(AE$5&gt;=$C27,$B27="Commercial"),$D27*$E27,0)</x:f>
        <x:v>0</x:v>
      </x:c>
      <x:c r="AF27" s="108" t="n">
        <x:f>IF(AF$5=$C27,$F27,0)+IF(AND(AF$5&gt;=$C27,$B27="Commercial"),$D27*$E27,0)</x:f>
        <x:v>0</x:v>
      </x:c>
      <x:c r="AG27" s="108" t="n">
        <x:f>IF(AG$5=$C27,$F27,0)+IF(AND(AG$5&gt;=$C27,$B27="Commercial"),$D27*$E27,0)</x:f>
        <x:v>0</x:v>
      </x:c>
      <x:c r="AH27" s="108" t="n">
        <x:f>IF(AH$5=$C27,$F27,0)+IF(AND(AH$5&gt;=$C27,$B27="Commercial"),$D27*$E27,0)</x:f>
        <x:v>0</x:v>
      </x:c>
      <x:c r="AI27" s="108" t="n">
        <x:f>IF(AI$5=$C27,$F27,0)+IF(AND(AI$5&gt;=$C27,$B27="Commercial"),$D27*$E27,0)</x:f>
        <x:v>0</x:v>
      </x:c>
      <x:c r="AJ27" s="108" t="n">
        <x:f>IF(AJ$5=$C27,$F27,0)+IF(AND(AJ$5&gt;=$C27,$B27="Commercial"),$D27*$E27,0)</x:f>
        <x:v>0</x:v>
      </x:c>
      <x:c r="AK27" s="108" t="n">
        <x:f>IF(AK$5=$C27,$F27,0)+IF(AND(AK$5&gt;=$C27,$B27="Commercial"),$D27*$E27,0)</x:f>
        <x:v>0</x:v>
      </x:c>
      <x:c r="AL27" s="108" t="n">
        <x:f>IF(AL$5=$C27,$F27,0)+IF(AND(AL$5&gt;=$C27,$B27="Commercial"),$D27*$E27,0)</x:f>
        <x:v>0</x:v>
      </x:c>
      <x:c r="AM27" s="108" t="n">
        <x:f>IF(AM$5=$C27,$F27,0)+IF(AND(AM$5&gt;=$C27,$B27="Commercial"),$D27*$E27,0)</x:f>
        <x:v>0</x:v>
      </x:c>
      <x:c r="AN27" s="108" t="n">
        <x:f>IF(AN$5=$C27,$F27,0)+IF(AND(AN$5&gt;=$C27,$B27="Commercial"),$D27*$E27,0)</x:f>
        <x:v>8105</x:v>
      </x:c>
      <x:c r="AO27" s="108" t="n">
        <x:f>IF(AO$5=$C27,$F27,0)+IF(AND(AO$5&gt;=$C27,$B27="Commercial"),$D27*$E27,0)</x:f>
        <x:v>3105</x:v>
      </x:c>
      <x:c r="AP27" s="108" t="n">
        <x:f>IF(AP$5=$C27,$F27,0)+IF(AND(AP$5&gt;=$C27,$B27="Commercial"),$D27*$E27,0)</x:f>
        <x:v>3105</x:v>
      </x:c>
      <x:c r="AQ27" s="108" t="n">
        <x:f>IF(AQ$5=$C27,$F27,0)+IF(AND(AQ$5&gt;=$C27,$B27="Commercial"),$D27*$E27,0)</x:f>
        <x:v>3105</x:v>
      </x:c>
    </x:row>
    <x:row r="28">
      <x:c r="A28" s="98" t="str">
        <x:v>C-21</x:v>
      </x:c>
      <x:c r="B28" s="98" t="str">
        <x:v>Commercial</x:v>
      </x:c>
      <x:c r="C28" s="106" t="n">
        <x:v>34</x:v>
      </x:c>
      <x:c r="D28" s="106" t="n">
        <x:v>45</x:v>
      </x:c>
      <x:c r="E28" s="107" t="n">
        <x:v>69</x:v>
      </x:c>
      <x:c r="F28" s="107" t="n">
        <x:v>5000</x:v>
      </x:c>
      <x:c r="G28" s="98" t="str">
        <x:v>Year-3 new customer</x:v>
      </x:c>
      <x:c r="H28" s="108" t="n">
        <x:f>IF(H$5=$C28,$F28,0)+IF(AND(H$5&gt;=$C28,$B28="Commercial"),$D28*$E28,0)</x:f>
        <x:v>0</x:v>
      </x:c>
      <x:c r="I28" s="108" t="n">
        <x:f>IF(I$5=$C28,$F28,0)+IF(AND(I$5&gt;=$C28,$B28="Commercial"),$D28*$E28,0)</x:f>
        <x:v>0</x:v>
      </x:c>
      <x:c r="J28" s="108" t="n">
        <x:f>IF(J$5=$C28,$F28,0)+IF(AND(J$5&gt;=$C28,$B28="Commercial"),$D28*$E28,0)</x:f>
        <x:v>0</x:v>
      </x:c>
      <x:c r="K28" s="108" t="n">
        <x:f>IF(K$5=$C28,$F28,0)+IF(AND(K$5&gt;=$C28,$B28="Commercial"),$D28*$E28,0)</x:f>
        <x:v>0</x:v>
      </x:c>
      <x:c r="L28" s="108" t="n">
        <x:f>IF(L$5=$C28,$F28,0)+IF(AND(L$5&gt;=$C28,$B28="Commercial"),$D28*$E28,0)</x:f>
        <x:v>0</x:v>
      </x:c>
      <x:c r="M28" s="108" t="n">
        <x:f>IF(M$5=$C28,$F28,0)+IF(AND(M$5&gt;=$C28,$B28="Commercial"),$D28*$E28,0)</x:f>
        <x:v>0</x:v>
      </x:c>
      <x:c r="N28" s="108" t="n">
        <x:f>IF(N$5=$C28,$F28,0)+IF(AND(N$5&gt;=$C28,$B28="Commercial"),$D28*$E28,0)</x:f>
        <x:v>0</x:v>
      </x:c>
      <x:c r="O28" s="108" t="n">
        <x:f>IF(O$5=$C28,$F28,0)+IF(AND(O$5&gt;=$C28,$B28="Commercial"),$D28*$E28,0)</x:f>
        <x:v>0</x:v>
      </x:c>
      <x:c r="P28" s="108" t="n">
        <x:f>IF(P$5=$C28,$F28,0)+IF(AND(P$5&gt;=$C28,$B28="Commercial"),$D28*$E28,0)</x:f>
        <x:v>0</x:v>
      </x:c>
      <x:c r="Q28" s="108" t="n">
        <x:f>IF(Q$5=$C28,$F28,0)+IF(AND(Q$5&gt;=$C28,$B28="Commercial"),$D28*$E28,0)</x:f>
        <x:v>0</x:v>
      </x:c>
      <x:c r="R28" s="108" t="n">
        <x:f>IF(R$5=$C28,$F28,0)+IF(AND(R$5&gt;=$C28,$B28="Commercial"),$D28*$E28,0)</x:f>
        <x:v>0</x:v>
      </x:c>
      <x:c r="S28" s="108" t="n">
        <x:f>IF(S$5=$C28,$F28,0)+IF(AND(S$5&gt;=$C28,$B28="Commercial"),$D28*$E28,0)</x:f>
        <x:v>0</x:v>
      </x:c>
      <x:c r="T28" s="108" t="n">
        <x:f>IF(T$5=$C28,$F28,0)+IF(AND(T$5&gt;=$C28,$B28="Commercial"),$D28*$E28,0)</x:f>
        <x:v>0</x:v>
      </x:c>
      <x:c r="U28" s="108" t="n">
        <x:f>IF(U$5=$C28,$F28,0)+IF(AND(U$5&gt;=$C28,$B28="Commercial"),$D28*$E28,0)</x:f>
        <x:v>0</x:v>
      </x:c>
      <x:c r="V28" s="108" t="n">
        <x:f>IF(V$5=$C28,$F28,0)+IF(AND(V$5&gt;=$C28,$B28="Commercial"),$D28*$E28,0)</x:f>
        <x:v>0</x:v>
      </x:c>
      <x:c r="W28" s="108" t="n">
        <x:f>IF(W$5=$C28,$F28,0)+IF(AND(W$5&gt;=$C28,$B28="Commercial"),$D28*$E28,0)</x:f>
        <x:v>0</x:v>
      </x:c>
      <x:c r="X28" s="108" t="n">
        <x:f>IF(X$5=$C28,$F28,0)+IF(AND(X$5&gt;=$C28,$B28="Commercial"),$D28*$E28,0)</x:f>
        <x:v>0</x:v>
      </x:c>
      <x:c r="Y28" s="108" t="n">
        <x:f>IF(Y$5=$C28,$F28,0)+IF(AND(Y$5&gt;=$C28,$B28="Commercial"),$D28*$E28,0)</x:f>
        <x:v>0</x:v>
      </x:c>
      <x:c r="Z28" s="108" t="n">
        <x:f>IF(Z$5=$C28,$F28,0)+IF(AND(Z$5&gt;=$C28,$B28="Commercial"),$D28*$E28,0)</x:f>
        <x:v>0</x:v>
      </x:c>
      <x:c r="AA28" s="108" t="n">
        <x:f>IF(AA$5=$C28,$F28,0)+IF(AND(AA$5&gt;=$C28,$B28="Commercial"),$D28*$E28,0)</x:f>
        <x:v>0</x:v>
      </x:c>
      <x:c r="AB28" s="108" t="n">
        <x:f>IF(AB$5=$C28,$F28,0)+IF(AND(AB$5&gt;=$C28,$B28="Commercial"),$D28*$E28,0)</x:f>
        <x:v>0</x:v>
      </x:c>
      <x:c r="AC28" s="108" t="n">
        <x:f>IF(AC$5=$C28,$F28,0)+IF(AND(AC$5&gt;=$C28,$B28="Commercial"),$D28*$E28,0)</x:f>
        <x:v>0</x:v>
      </x:c>
      <x:c r="AD28" s="108" t="n">
        <x:f>IF(AD$5=$C28,$F28,0)+IF(AND(AD$5&gt;=$C28,$B28="Commercial"),$D28*$E28,0)</x:f>
        <x:v>0</x:v>
      </x:c>
      <x:c r="AE28" s="108" t="n">
        <x:f>IF(AE$5=$C28,$F28,0)+IF(AND(AE$5&gt;=$C28,$B28="Commercial"),$D28*$E28,0)</x:f>
        <x:v>0</x:v>
      </x:c>
      <x:c r="AF28" s="108" t="n">
        <x:f>IF(AF$5=$C28,$F28,0)+IF(AND(AF$5&gt;=$C28,$B28="Commercial"),$D28*$E28,0)</x:f>
        <x:v>0</x:v>
      </x:c>
      <x:c r="AG28" s="108" t="n">
        <x:f>IF(AG$5=$C28,$F28,0)+IF(AND(AG$5&gt;=$C28,$B28="Commercial"),$D28*$E28,0)</x:f>
        <x:v>0</x:v>
      </x:c>
      <x:c r="AH28" s="108" t="n">
        <x:f>IF(AH$5=$C28,$F28,0)+IF(AND(AH$5&gt;=$C28,$B28="Commercial"),$D28*$E28,0)</x:f>
        <x:v>0</x:v>
      </x:c>
      <x:c r="AI28" s="108" t="n">
        <x:f>IF(AI$5=$C28,$F28,0)+IF(AND(AI$5&gt;=$C28,$B28="Commercial"),$D28*$E28,0)</x:f>
        <x:v>0</x:v>
      </x:c>
      <x:c r="AJ28" s="108" t="n">
        <x:f>IF(AJ$5=$C28,$F28,0)+IF(AND(AJ$5&gt;=$C28,$B28="Commercial"),$D28*$E28,0)</x:f>
        <x:v>0</x:v>
      </x:c>
      <x:c r="AK28" s="108" t="n">
        <x:f>IF(AK$5=$C28,$F28,0)+IF(AND(AK$5&gt;=$C28,$B28="Commercial"),$D28*$E28,0)</x:f>
        <x:v>0</x:v>
      </x:c>
      <x:c r="AL28" s="108" t="n">
        <x:f>IF(AL$5=$C28,$F28,0)+IF(AND(AL$5&gt;=$C28,$B28="Commercial"),$D28*$E28,0)</x:f>
        <x:v>0</x:v>
      </x:c>
      <x:c r="AM28" s="108" t="n">
        <x:f>IF(AM$5=$C28,$F28,0)+IF(AND(AM$5&gt;=$C28,$B28="Commercial"),$D28*$E28,0)</x:f>
        <x:v>0</x:v>
      </x:c>
      <x:c r="AN28" s="108" t="n">
        <x:f>IF(AN$5=$C28,$F28,0)+IF(AND(AN$5&gt;=$C28,$B28="Commercial"),$D28*$E28,0)</x:f>
        <x:v>0</x:v>
      </x:c>
      <x:c r="AO28" s="108" t="n">
        <x:f>IF(AO$5=$C28,$F28,0)+IF(AND(AO$5&gt;=$C28,$B28="Commercial"),$D28*$E28,0)</x:f>
        <x:v>8105</x:v>
      </x:c>
      <x:c r="AP28" s="108" t="n">
        <x:f>IF(AP$5=$C28,$F28,0)+IF(AND(AP$5&gt;=$C28,$B28="Commercial"),$D28*$E28,0)</x:f>
        <x:v>3105</x:v>
      </x:c>
      <x:c r="AQ28" s="108" t="n">
        <x:f>IF(AQ$5=$C28,$F28,0)+IF(AND(AQ$5&gt;=$C28,$B28="Commercial"),$D28*$E28,0)</x:f>
        <x:v>3105</x:v>
      </x:c>
    </x:row>
    <x:row r="29">
      <x:c r="A29" s="98" t="str">
        <x:v>C-22</x:v>
      </x:c>
      <x:c r="B29" s="98" t="str">
        <x:v>Commercial</x:v>
      </x:c>
      <x:c r="C29" s="106" t="n">
        <x:v>35</x:v>
      </x:c>
      <x:c r="D29" s="106" t="n">
        <x:v>45</x:v>
      </x:c>
      <x:c r="E29" s="107" t="n">
        <x:v>69</x:v>
      </x:c>
      <x:c r="F29" s="107" t="n">
        <x:v>5000</x:v>
      </x:c>
      <x:c r="G29" s="98" t="str">
        <x:v>Year-3 new customer</x:v>
      </x:c>
      <x:c r="H29" s="108" t="n">
        <x:f>IF(H$5=$C29,$F29,0)+IF(AND(H$5&gt;=$C29,$B29="Commercial"),$D29*$E29,0)</x:f>
        <x:v>0</x:v>
      </x:c>
      <x:c r="I29" s="108" t="n">
        <x:f>IF(I$5=$C29,$F29,0)+IF(AND(I$5&gt;=$C29,$B29="Commercial"),$D29*$E29,0)</x:f>
        <x:v>0</x:v>
      </x:c>
      <x:c r="J29" s="108" t="n">
        <x:f>IF(J$5=$C29,$F29,0)+IF(AND(J$5&gt;=$C29,$B29="Commercial"),$D29*$E29,0)</x:f>
        <x:v>0</x:v>
      </x:c>
      <x:c r="K29" s="108" t="n">
        <x:f>IF(K$5=$C29,$F29,0)+IF(AND(K$5&gt;=$C29,$B29="Commercial"),$D29*$E29,0)</x:f>
        <x:v>0</x:v>
      </x:c>
      <x:c r="L29" s="108" t="n">
        <x:f>IF(L$5=$C29,$F29,0)+IF(AND(L$5&gt;=$C29,$B29="Commercial"),$D29*$E29,0)</x:f>
        <x:v>0</x:v>
      </x:c>
      <x:c r="M29" s="108" t="n">
        <x:f>IF(M$5=$C29,$F29,0)+IF(AND(M$5&gt;=$C29,$B29="Commercial"),$D29*$E29,0)</x:f>
        <x:v>0</x:v>
      </x:c>
      <x:c r="N29" s="108" t="n">
        <x:f>IF(N$5=$C29,$F29,0)+IF(AND(N$5&gt;=$C29,$B29="Commercial"),$D29*$E29,0)</x:f>
        <x:v>0</x:v>
      </x:c>
      <x:c r="O29" s="108" t="n">
        <x:f>IF(O$5=$C29,$F29,0)+IF(AND(O$5&gt;=$C29,$B29="Commercial"),$D29*$E29,0)</x:f>
        <x:v>0</x:v>
      </x:c>
      <x:c r="P29" s="108" t="n">
        <x:f>IF(P$5=$C29,$F29,0)+IF(AND(P$5&gt;=$C29,$B29="Commercial"),$D29*$E29,0)</x:f>
        <x:v>0</x:v>
      </x:c>
      <x:c r="Q29" s="108" t="n">
        <x:f>IF(Q$5=$C29,$F29,0)+IF(AND(Q$5&gt;=$C29,$B29="Commercial"),$D29*$E29,0)</x:f>
        <x:v>0</x:v>
      </x:c>
      <x:c r="R29" s="108" t="n">
        <x:f>IF(R$5=$C29,$F29,0)+IF(AND(R$5&gt;=$C29,$B29="Commercial"),$D29*$E29,0)</x:f>
        <x:v>0</x:v>
      </x:c>
      <x:c r="S29" s="108" t="n">
        <x:f>IF(S$5=$C29,$F29,0)+IF(AND(S$5&gt;=$C29,$B29="Commercial"),$D29*$E29,0)</x:f>
        <x:v>0</x:v>
      </x:c>
      <x:c r="T29" s="108" t="n">
        <x:f>IF(T$5=$C29,$F29,0)+IF(AND(T$5&gt;=$C29,$B29="Commercial"),$D29*$E29,0)</x:f>
        <x:v>0</x:v>
      </x:c>
      <x:c r="U29" s="108" t="n">
        <x:f>IF(U$5=$C29,$F29,0)+IF(AND(U$5&gt;=$C29,$B29="Commercial"),$D29*$E29,0)</x:f>
        <x:v>0</x:v>
      </x:c>
      <x:c r="V29" s="108" t="n">
        <x:f>IF(V$5=$C29,$F29,0)+IF(AND(V$5&gt;=$C29,$B29="Commercial"),$D29*$E29,0)</x:f>
        <x:v>0</x:v>
      </x:c>
      <x:c r="W29" s="108" t="n">
        <x:f>IF(W$5=$C29,$F29,0)+IF(AND(W$5&gt;=$C29,$B29="Commercial"),$D29*$E29,0)</x:f>
        <x:v>0</x:v>
      </x:c>
      <x:c r="X29" s="108" t="n">
        <x:f>IF(X$5=$C29,$F29,0)+IF(AND(X$5&gt;=$C29,$B29="Commercial"),$D29*$E29,0)</x:f>
        <x:v>0</x:v>
      </x:c>
      <x:c r="Y29" s="108" t="n">
        <x:f>IF(Y$5=$C29,$F29,0)+IF(AND(Y$5&gt;=$C29,$B29="Commercial"),$D29*$E29,0)</x:f>
        <x:v>0</x:v>
      </x:c>
      <x:c r="Z29" s="108" t="n">
        <x:f>IF(Z$5=$C29,$F29,0)+IF(AND(Z$5&gt;=$C29,$B29="Commercial"),$D29*$E29,0)</x:f>
        <x:v>0</x:v>
      </x:c>
      <x:c r="AA29" s="108" t="n">
        <x:f>IF(AA$5=$C29,$F29,0)+IF(AND(AA$5&gt;=$C29,$B29="Commercial"),$D29*$E29,0)</x:f>
        <x:v>0</x:v>
      </x:c>
      <x:c r="AB29" s="108" t="n">
        <x:f>IF(AB$5=$C29,$F29,0)+IF(AND(AB$5&gt;=$C29,$B29="Commercial"),$D29*$E29,0)</x:f>
        <x:v>0</x:v>
      </x:c>
      <x:c r="AC29" s="108" t="n">
        <x:f>IF(AC$5=$C29,$F29,0)+IF(AND(AC$5&gt;=$C29,$B29="Commercial"),$D29*$E29,0)</x:f>
        <x:v>0</x:v>
      </x:c>
      <x:c r="AD29" s="108" t="n">
        <x:f>IF(AD$5=$C29,$F29,0)+IF(AND(AD$5&gt;=$C29,$B29="Commercial"),$D29*$E29,0)</x:f>
        <x:v>0</x:v>
      </x:c>
      <x:c r="AE29" s="108" t="n">
        <x:f>IF(AE$5=$C29,$F29,0)+IF(AND(AE$5&gt;=$C29,$B29="Commercial"),$D29*$E29,0)</x:f>
        <x:v>0</x:v>
      </x:c>
      <x:c r="AF29" s="108" t="n">
        <x:f>IF(AF$5=$C29,$F29,0)+IF(AND(AF$5&gt;=$C29,$B29="Commercial"),$D29*$E29,0)</x:f>
        <x:v>0</x:v>
      </x:c>
      <x:c r="AG29" s="108" t="n">
        <x:f>IF(AG$5=$C29,$F29,0)+IF(AND(AG$5&gt;=$C29,$B29="Commercial"),$D29*$E29,0)</x:f>
        <x:v>0</x:v>
      </x:c>
      <x:c r="AH29" s="108" t="n">
        <x:f>IF(AH$5=$C29,$F29,0)+IF(AND(AH$5&gt;=$C29,$B29="Commercial"),$D29*$E29,0)</x:f>
        <x:v>0</x:v>
      </x:c>
      <x:c r="AI29" s="108" t="n">
        <x:f>IF(AI$5=$C29,$F29,0)+IF(AND(AI$5&gt;=$C29,$B29="Commercial"),$D29*$E29,0)</x:f>
        <x:v>0</x:v>
      </x:c>
      <x:c r="AJ29" s="108" t="n">
        <x:f>IF(AJ$5=$C29,$F29,0)+IF(AND(AJ$5&gt;=$C29,$B29="Commercial"),$D29*$E29,0)</x:f>
        <x:v>0</x:v>
      </x:c>
      <x:c r="AK29" s="108" t="n">
        <x:f>IF(AK$5=$C29,$F29,0)+IF(AND(AK$5&gt;=$C29,$B29="Commercial"),$D29*$E29,0)</x:f>
        <x:v>0</x:v>
      </x:c>
      <x:c r="AL29" s="108" t="n">
        <x:f>IF(AL$5=$C29,$F29,0)+IF(AND(AL$5&gt;=$C29,$B29="Commercial"),$D29*$E29,0)</x:f>
        <x:v>0</x:v>
      </x:c>
      <x:c r="AM29" s="108" t="n">
        <x:f>IF(AM$5=$C29,$F29,0)+IF(AND(AM$5&gt;=$C29,$B29="Commercial"),$D29*$E29,0)</x:f>
        <x:v>0</x:v>
      </x:c>
      <x:c r="AN29" s="108" t="n">
        <x:f>IF(AN$5=$C29,$F29,0)+IF(AND(AN$5&gt;=$C29,$B29="Commercial"),$D29*$E29,0)</x:f>
        <x:v>0</x:v>
      </x:c>
      <x:c r="AO29" s="108" t="n">
        <x:f>IF(AO$5=$C29,$F29,0)+IF(AND(AO$5&gt;=$C29,$B29="Commercial"),$D29*$E29,0)</x:f>
        <x:v>0</x:v>
      </x:c>
      <x:c r="AP29" s="108" t="n">
        <x:f>IF(AP$5=$C29,$F29,0)+IF(AND(AP$5&gt;=$C29,$B29="Commercial"),$D29*$E29,0)</x:f>
        <x:v>8105</x:v>
      </x:c>
      <x:c r="AQ29" s="108" t="n">
        <x:f>IF(AQ$5=$C29,$F29,0)+IF(AND(AQ$5&gt;=$C29,$B29="Commercial"),$D29*$E29,0)</x:f>
        <x:v>3105</x:v>
      </x:c>
    </x:row>
    <x:row r="30">
      <x:c r="A30" s="98" t="str">
        <x:v>C-23</x:v>
      </x:c>
      <x:c r="B30" s="98" t="str">
        <x:v>Commercial</x:v>
      </x:c>
      <x:c r="C30" s="106" t="n">
        <x:v>36</x:v>
      </x:c>
      <x:c r="D30" s="106" t="n">
        <x:v>45</x:v>
      </x:c>
      <x:c r="E30" s="107" t="n">
        <x:v>69</x:v>
      </x:c>
      <x:c r="F30" s="107" t="n">
        <x:v>5000</x:v>
      </x:c>
      <x:c r="G30" s="98" t="str">
        <x:v>Year-3 new customer</x:v>
      </x:c>
      <x:c r="H30" s="108" t="n">
        <x:f>IF(H$5=$C30,$F30,0)+IF(AND(H$5&gt;=$C30,$B30="Commercial"),$D30*$E30,0)</x:f>
        <x:v>0</x:v>
      </x:c>
      <x:c r="I30" s="108" t="n">
        <x:f>IF(I$5=$C30,$F30,0)+IF(AND(I$5&gt;=$C30,$B30="Commercial"),$D30*$E30,0)</x:f>
        <x:v>0</x:v>
      </x:c>
      <x:c r="J30" s="108" t="n">
        <x:f>IF(J$5=$C30,$F30,0)+IF(AND(J$5&gt;=$C30,$B30="Commercial"),$D30*$E30,0)</x:f>
        <x:v>0</x:v>
      </x:c>
      <x:c r="K30" s="108" t="n">
        <x:f>IF(K$5=$C30,$F30,0)+IF(AND(K$5&gt;=$C30,$B30="Commercial"),$D30*$E30,0)</x:f>
        <x:v>0</x:v>
      </x:c>
      <x:c r="L30" s="108" t="n">
        <x:f>IF(L$5=$C30,$F30,0)+IF(AND(L$5&gt;=$C30,$B30="Commercial"),$D30*$E30,0)</x:f>
        <x:v>0</x:v>
      </x:c>
      <x:c r="M30" s="108" t="n">
        <x:f>IF(M$5=$C30,$F30,0)+IF(AND(M$5&gt;=$C30,$B30="Commercial"),$D30*$E30,0)</x:f>
        <x:v>0</x:v>
      </x:c>
      <x:c r="N30" s="108" t="n">
        <x:f>IF(N$5=$C30,$F30,0)+IF(AND(N$5&gt;=$C30,$B30="Commercial"),$D30*$E30,0)</x:f>
        <x:v>0</x:v>
      </x:c>
      <x:c r="O30" s="108" t="n">
        <x:f>IF(O$5=$C30,$F30,0)+IF(AND(O$5&gt;=$C30,$B30="Commercial"),$D30*$E30,0)</x:f>
        <x:v>0</x:v>
      </x:c>
      <x:c r="P30" s="108" t="n">
        <x:f>IF(P$5=$C30,$F30,0)+IF(AND(P$5&gt;=$C30,$B30="Commercial"),$D30*$E30,0)</x:f>
        <x:v>0</x:v>
      </x:c>
      <x:c r="Q30" s="108" t="n">
        <x:f>IF(Q$5=$C30,$F30,0)+IF(AND(Q$5&gt;=$C30,$B30="Commercial"),$D30*$E30,0)</x:f>
        <x:v>0</x:v>
      </x:c>
      <x:c r="R30" s="108" t="n">
        <x:f>IF(R$5=$C30,$F30,0)+IF(AND(R$5&gt;=$C30,$B30="Commercial"),$D30*$E30,0)</x:f>
        <x:v>0</x:v>
      </x:c>
      <x:c r="S30" s="108" t="n">
        <x:f>IF(S$5=$C30,$F30,0)+IF(AND(S$5&gt;=$C30,$B30="Commercial"),$D30*$E30,0)</x:f>
        <x:v>0</x:v>
      </x:c>
      <x:c r="T30" s="108" t="n">
        <x:f>IF(T$5=$C30,$F30,0)+IF(AND(T$5&gt;=$C30,$B30="Commercial"),$D30*$E30,0)</x:f>
        <x:v>0</x:v>
      </x:c>
      <x:c r="U30" s="108" t="n">
        <x:f>IF(U$5=$C30,$F30,0)+IF(AND(U$5&gt;=$C30,$B30="Commercial"),$D30*$E30,0)</x:f>
        <x:v>0</x:v>
      </x:c>
      <x:c r="V30" s="108" t="n">
        <x:f>IF(V$5=$C30,$F30,0)+IF(AND(V$5&gt;=$C30,$B30="Commercial"),$D30*$E30,0)</x:f>
        <x:v>0</x:v>
      </x:c>
      <x:c r="W30" s="108" t="n">
        <x:f>IF(W$5=$C30,$F30,0)+IF(AND(W$5&gt;=$C30,$B30="Commercial"),$D30*$E30,0)</x:f>
        <x:v>0</x:v>
      </x:c>
      <x:c r="X30" s="108" t="n">
        <x:f>IF(X$5=$C30,$F30,0)+IF(AND(X$5&gt;=$C30,$B30="Commercial"),$D30*$E30,0)</x:f>
        <x:v>0</x:v>
      </x:c>
      <x:c r="Y30" s="108" t="n">
        <x:f>IF(Y$5=$C30,$F30,0)+IF(AND(Y$5&gt;=$C30,$B30="Commercial"),$D30*$E30,0)</x:f>
        <x:v>0</x:v>
      </x:c>
      <x:c r="Z30" s="108" t="n">
        <x:f>IF(Z$5=$C30,$F30,0)+IF(AND(Z$5&gt;=$C30,$B30="Commercial"),$D30*$E30,0)</x:f>
        <x:v>0</x:v>
      </x:c>
      <x:c r="AA30" s="108" t="n">
        <x:f>IF(AA$5=$C30,$F30,0)+IF(AND(AA$5&gt;=$C30,$B30="Commercial"),$D30*$E30,0)</x:f>
        <x:v>0</x:v>
      </x:c>
      <x:c r="AB30" s="108" t="n">
        <x:f>IF(AB$5=$C30,$F30,0)+IF(AND(AB$5&gt;=$C30,$B30="Commercial"),$D30*$E30,0)</x:f>
        <x:v>0</x:v>
      </x:c>
      <x:c r="AC30" s="108" t="n">
        <x:f>IF(AC$5=$C30,$F30,0)+IF(AND(AC$5&gt;=$C30,$B30="Commercial"),$D30*$E30,0)</x:f>
        <x:v>0</x:v>
      </x:c>
      <x:c r="AD30" s="108" t="n">
        <x:f>IF(AD$5=$C30,$F30,0)+IF(AND(AD$5&gt;=$C30,$B30="Commercial"),$D30*$E30,0)</x:f>
        <x:v>0</x:v>
      </x:c>
      <x:c r="AE30" s="108" t="n">
        <x:f>IF(AE$5=$C30,$F30,0)+IF(AND(AE$5&gt;=$C30,$B30="Commercial"),$D30*$E30,0)</x:f>
        <x:v>0</x:v>
      </x:c>
      <x:c r="AF30" s="108" t="n">
        <x:f>IF(AF$5=$C30,$F30,0)+IF(AND(AF$5&gt;=$C30,$B30="Commercial"),$D30*$E30,0)</x:f>
        <x:v>0</x:v>
      </x:c>
      <x:c r="AG30" s="108" t="n">
        <x:f>IF(AG$5=$C30,$F30,0)+IF(AND(AG$5&gt;=$C30,$B30="Commercial"),$D30*$E30,0)</x:f>
        <x:v>0</x:v>
      </x:c>
      <x:c r="AH30" s="108" t="n">
        <x:f>IF(AH$5=$C30,$F30,0)+IF(AND(AH$5&gt;=$C30,$B30="Commercial"),$D30*$E30,0)</x:f>
        <x:v>0</x:v>
      </x:c>
      <x:c r="AI30" s="108" t="n">
        <x:f>IF(AI$5=$C30,$F30,0)+IF(AND(AI$5&gt;=$C30,$B30="Commercial"),$D30*$E30,0)</x:f>
        <x:v>0</x:v>
      </x:c>
      <x:c r="AJ30" s="108" t="n">
        <x:f>IF(AJ$5=$C30,$F30,0)+IF(AND(AJ$5&gt;=$C30,$B30="Commercial"),$D30*$E30,0)</x:f>
        <x:v>0</x:v>
      </x:c>
      <x:c r="AK30" s="108" t="n">
        <x:f>IF(AK$5=$C30,$F30,0)+IF(AND(AK$5&gt;=$C30,$B30="Commercial"),$D30*$E30,0)</x:f>
        <x:v>0</x:v>
      </x:c>
      <x:c r="AL30" s="108" t="n">
        <x:f>IF(AL$5=$C30,$F30,0)+IF(AND(AL$5&gt;=$C30,$B30="Commercial"),$D30*$E30,0)</x:f>
        <x:v>0</x:v>
      </x:c>
      <x:c r="AM30" s="108" t="n">
        <x:f>IF(AM$5=$C30,$F30,0)+IF(AND(AM$5&gt;=$C30,$B30="Commercial"),$D30*$E30,0)</x:f>
        <x:v>0</x:v>
      </x:c>
      <x:c r="AN30" s="108" t="n">
        <x:f>IF(AN$5=$C30,$F30,0)+IF(AND(AN$5&gt;=$C30,$B30="Commercial"),$D30*$E30,0)</x:f>
        <x:v>0</x:v>
      </x:c>
      <x:c r="AO30" s="108" t="n">
        <x:f>IF(AO$5=$C30,$F30,0)+IF(AND(AO$5&gt;=$C30,$B30="Commercial"),$D30*$E30,0)</x:f>
        <x:v>0</x:v>
      </x:c>
      <x:c r="AP30" s="108" t="n">
        <x:f>IF(AP$5=$C30,$F30,0)+IF(AND(AP$5&gt;=$C30,$B30="Commercial"),$D30*$E30,0)</x:f>
        <x:v>0</x:v>
      </x:c>
      <x:c r="AQ30" s="108" t="n">
        <x:f>IF(AQ$5=$C30,$F30,0)+IF(AND(AQ$5&gt;=$C30,$B30="Commercial"),$D30*$E30,0)</x:f>
        <x:v>8105</x:v>
      </x:c>
    </x:row>
    <x:row r="31">
      <x:c r="A31" s="98" t="str">
        <x:v>C-24</x:v>
      </x:c>
      <x:c r="B31" s="98" t="str">
        <x:v>Commercial</x:v>
      </x:c>
      <x:c r="C31" s="106" t="n">
        <x:v>36</x:v>
      </x:c>
      <x:c r="D31" s="106" t="n">
        <x:v>45</x:v>
      </x:c>
      <x:c r="E31" s="107" t="n">
        <x:v>69</x:v>
      </x:c>
      <x:c r="F31" s="107" t="n">
        <x:v>5000</x:v>
      </x:c>
      <x:c r="G31" s="98" t="str">
        <x:v>Year-3 new customer</x:v>
      </x:c>
      <x:c r="H31" s="108" t="n">
        <x:f>IF(H$5=$C31,$F31,0)+IF(AND(H$5&gt;=$C31,$B31="Commercial"),$D31*$E31,0)</x:f>
        <x:v>0</x:v>
      </x:c>
      <x:c r="I31" s="108" t="n">
        <x:f>IF(I$5=$C31,$F31,0)+IF(AND(I$5&gt;=$C31,$B31="Commercial"),$D31*$E31,0)</x:f>
        <x:v>0</x:v>
      </x:c>
      <x:c r="J31" s="108" t="n">
        <x:f>IF(J$5=$C31,$F31,0)+IF(AND(J$5&gt;=$C31,$B31="Commercial"),$D31*$E31,0)</x:f>
        <x:v>0</x:v>
      </x:c>
      <x:c r="K31" s="108" t="n">
        <x:f>IF(K$5=$C31,$F31,0)+IF(AND(K$5&gt;=$C31,$B31="Commercial"),$D31*$E31,0)</x:f>
        <x:v>0</x:v>
      </x:c>
      <x:c r="L31" s="108" t="n">
        <x:f>IF(L$5=$C31,$F31,0)+IF(AND(L$5&gt;=$C31,$B31="Commercial"),$D31*$E31,0)</x:f>
        <x:v>0</x:v>
      </x:c>
      <x:c r="M31" s="108" t="n">
        <x:f>IF(M$5=$C31,$F31,0)+IF(AND(M$5&gt;=$C31,$B31="Commercial"),$D31*$E31,0)</x:f>
        <x:v>0</x:v>
      </x:c>
      <x:c r="N31" s="108" t="n">
        <x:f>IF(N$5=$C31,$F31,0)+IF(AND(N$5&gt;=$C31,$B31="Commercial"),$D31*$E31,0)</x:f>
        <x:v>0</x:v>
      </x:c>
      <x:c r="O31" s="108" t="n">
        <x:f>IF(O$5=$C31,$F31,0)+IF(AND(O$5&gt;=$C31,$B31="Commercial"),$D31*$E31,0)</x:f>
        <x:v>0</x:v>
      </x:c>
      <x:c r="P31" s="108" t="n">
        <x:f>IF(P$5=$C31,$F31,0)+IF(AND(P$5&gt;=$C31,$B31="Commercial"),$D31*$E31,0)</x:f>
        <x:v>0</x:v>
      </x:c>
      <x:c r="Q31" s="108" t="n">
        <x:f>IF(Q$5=$C31,$F31,0)+IF(AND(Q$5&gt;=$C31,$B31="Commercial"),$D31*$E31,0)</x:f>
        <x:v>0</x:v>
      </x:c>
      <x:c r="R31" s="108" t="n">
        <x:f>IF(R$5=$C31,$F31,0)+IF(AND(R$5&gt;=$C31,$B31="Commercial"),$D31*$E31,0)</x:f>
        <x:v>0</x:v>
      </x:c>
      <x:c r="S31" s="108" t="n">
        <x:f>IF(S$5=$C31,$F31,0)+IF(AND(S$5&gt;=$C31,$B31="Commercial"),$D31*$E31,0)</x:f>
        <x:v>0</x:v>
      </x:c>
      <x:c r="T31" s="108" t="n">
        <x:f>IF(T$5=$C31,$F31,0)+IF(AND(T$5&gt;=$C31,$B31="Commercial"),$D31*$E31,0)</x:f>
        <x:v>0</x:v>
      </x:c>
      <x:c r="U31" s="108" t="n">
        <x:f>IF(U$5=$C31,$F31,0)+IF(AND(U$5&gt;=$C31,$B31="Commercial"),$D31*$E31,0)</x:f>
        <x:v>0</x:v>
      </x:c>
      <x:c r="V31" s="108" t="n">
        <x:f>IF(V$5=$C31,$F31,0)+IF(AND(V$5&gt;=$C31,$B31="Commercial"),$D31*$E31,0)</x:f>
        <x:v>0</x:v>
      </x:c>
      <x:c r="W31" s="108" t="n">
        <x:f>IF(W$5=$C31,$F31,0)+IF(AND(W$5&gt;=$C31,$B31="Commercial"),$D31*$E31,0)</x:f>
        <x:v>0</x:v>
      </x:c>
      <x:c r="X31" s="108" t="n">
        <x:f>IF(X$5=$C31,$F31,0)+IF(AND(X$5&gt;=$C31,$B31="Commercial"),$D31*$E31,0)</x:f>
        <x:v>0</x:v>
      </x:c>
      <x:c r="Y31" s="108" t="n">
        <x:f>IF(Y$5=$C31,$F31,0)+IF(AND(Y$5&gt;=$C31,$B31="Commercial"),$D31*$E31,0)</x:f>
        <x:v>0</x:v>
      </x:c>
      <x:c r="Z31" s="108" t="n">
        <x:f>IF(Z$5=$C31,$F31,0)+IF(AND(Z$5&gt;=$C31,$B31="Commercial"),$D31*$E31,0)</x:f>
        <x:v>0</x:v>
      </x:c>
      <x:c r="AA31" s="108" t="n">
        <x:f>IF(AA$5=$C31,$F31,0)+IF(AND(AA$5&gt;=$C31,$B31="Commercial"),$D31*$E31,0)</x:f>
        <x:v>0</x:v>
      </x:c>
      <x:c r="AB31" s="108" t="n">
        <x:f>IF(AB$5=$C31,$F31,0)+IF(AND(AB$5&gt;=$C31,$B31="Commercial"),$D31*$E31,0)</x:f>
        <x:v>0</x:v>
      </x:c>
      <x:c r="AC31" s="108" t="n">
        <x:f>IF(AC$5=$C31,$F31,0)+IF(AND(AC$5&gt;=$C31,$B31="Commercial"),$D31*$E31,0)</x:f>
        <x:v>0</x:v>
      </x:c>
      <x:c r="AD31" s="108" t="n">
        <x:f>IF(AD$5=$C31,$F31,0)+IF(AND(AD$5&gt;=$C31,$B31="Commercial"),$D31*$E31,0)</x:f>
        <x:v>0</x:v>
      </x:c>
      <x:c r="AE31" s="108" t="n">
        <x:f>IF(AE$5=$C31,$F31,0)+IF(AND(AE$5&gt;=$C31,$B31="Commercial"),$D31*$E31,0)</x:f>
        <x:v>0</x:v>
      </x:c>
      <x:c r="AF31" s="108" t="n">
        <x:f>IF(AF$5=$C31,$F31,0)+IF(AND(AF$5&gt;=$C31,$B31="Commercial"),$D31*$E31,0)</x:f>
        <x:v>0</x:v>
      </x:c>
      <x:c r="AG31" s="108" t="n">
        <x:f>IF(AG$5=$C31,$F31,0)+IF(AND(AG$5&gt;=$C31,$B31="Commercial"),$D31*$E31,0)</x:f>
        <x:v>0</x:v>
      </x:c>
      <x:c r="AH31" s="108" t="n">
        <x:f>IF(AH$5=$C31,$F31,0)+IF(AND(AH$5&gt;=$C31,$B31="Commercial"),$D31*$E31,0)</x:f>
        <x:v>0</x:v>
      </x:c>
      <x:c r="AI31" s="108" t="n">
        <x:f>IF(AI$5=$C31,$F31,0)+IF(AND(AI$5&gt;=$C31,$B31="Commercial"),$D31*$E31,0)</x:f>
        <x:v>0</x:v>
      </x:c>
      <x:c r="AJ31" s="108" t="n">
        <x:f>IF(AJ$5=$C31,$F31,0)+IF(AND(AJ$5&gt;=$C31,$B31="Commercial"),$D31*$E31,0)</x:f>
        <x:v>0</x:v>
      </x:c>
      <x:c r="AK31" s="108" t="n">
        <x:f>IF(AK$5=$C31,$F31,0)+IF(AND(AK$5&gt;=$C31,$B31="Commercial"),$D31*$E31,0)</x:f>
        <x:v>0</x:v>
      </x:c>
      <x:c r="AL31" s="108" t="n">
        <x:f>IF(AL$5=$C31,$F31,0)+IF(AND(AL$5&gt;=$C31,$B31="Commercial"),$D31*$E31,0)</x:f>
        <x:v>0</x:v>
      </x:c>
      <x:c r="AM31" s="108" t="n">
        <x:f>IF(AM$5=$C31,$F31,0)+IF(AND(AM$5&gt;=$C31,$B31="Commercial"),$D31*$E31,0)</x:f>
        <x:v>0</x:v>
      </x:c>
      <x:c r="AN31" s="108" t="n">
        <x:f>IF(AN$5=$C31,$F31,0)+IF(AND(AN$5&gt;=$C31,$B31="Commercial"),$D31*$E31,0)</x:f>
        <x:v>0</x:v>
      </x:c>
      <x:c r="AO31" s="108" t="n">
        <x:f>IF(AO$5=$C31,$F31,0)+IF(AND(AO$5&gt;=$C31,$B31="Commercial"),$D31*$E31,0)</x:f>
        <x:v>0</x:v>
      </x:c>
      <x:c r="AP31" s="108" t="n">
        <x:f>IF(AP$5=$C31,$F31,0)+IF(AND(AP$5&gt;=$C31,$B31="Commercial"),$D31*$E31,0)</x:f>
        <x:v>0</x:v>
      </x:c>
      <x:c r="AQ31" s="108" t="n">
        <x:f>IF(AQ$5=$C31,$F31,0)+IF(AND(AQ$5&gt;=$C31,$B31="Commercial"),$D31*$E31,0)</x:f>
        <x:v>8105</x:v>
      </x:c>
    </x:row>
    <x:row r="32">
      <x:c r="A32" s="98"/>
      <x:c r="B32" s="98"/>
      <x:c r="C32" s="98"/>
      <x:c r="D32" s="98"/>
      <x:c r="E32" s="98"/>
      <x:c r="F32" s="98"/>
      <x:c r="G32" s="98"/>
      <x:c r="H32" s="108"/>
      <x:c r="I32" s="108"/>
      <x:c r="J32" s="108"/>
      <x:c r="K32" s="108"/>
      <x:c r="L32" s="108"/>
      <x:c r="M32" s="108"/>
      <x:c r="N32" s="108"/>
      <x:c r="O32" s="108"/>
      <x:c r="P32" s="108"/>
      <x:c r="Q32" s="108"/>
      <x:c r="R32" s="108"/>
      <x:c r="S32" s="108"/>
      <x:c r="T32" s="108"/>
      <x:c r="U32" s="108"/>
      <x:c r="V32" s="108"/>
      <x:c r="W32" s="108"/>
      <x:c r="X32" s="108"/>
      <x:c r="Y32" s="108"/>
      <x:c r="Z32" s="108"/>
      <x:c r="AA32" s="108"/>
      <x:c r="AB32" s="108"/>
      <x:c r="AC32" s="108"/>
      <x:c r="AD32" s="108"/>
      <x:c r="AE32" s="108"/>
      <x:c r="AF32" s="108"/>
      <x:c r="AG32" s="108"/>
      <x:c r="AH32" s="108"/>
      <x:c r="AI32" s="108"/>
      <x:c r="AJ32" s="108"/>
      <x:c r="AK32" s="108"/>
      <x:c r="AL32" s="108"/>
      <x:c r="AM32" s="108"/>
      <x:c r="AN32" s="108"/>
      <x:c r="AO32" s="108"/>
      <x:c r="AP32" s="108"/>
      <x:c r="AQ32" s="108"/>
    </x:row>
    <x:row r="33">
      <x:c r="A33" s="98"/>
      <x:c r="B33" s="98"/>
      <x:c r="C33" s="98"/>
      <x:c r="D33" s="98"/>
      <x:c r="E33" s="98"/>
      <x:c r="F33" s="98"/>
      <x:c r="G33" s="98"/>
      <x:c r="H33" s="108"/>
      <x:c r="I33" s="108"/>
      <x:c r="J33" s="108"/>
      <x:c r="K33" s="108"/>
      <x:c r="L33" s="108"/>
      <x:c r="M33" s="108"/>
      <x:c r="N33" s="108"/>
      <x:c r="O33" s="108"/>
      <x:c r="P33" s="108"/>
      <x:c r="Q33" s="108"/>
      <x:c r="R33" s="108"/>
      <x:c r="S33" s="108"/>
      <x:c r="T33" s="108"/>
      <x:c r="U33" s="108"/>
      <x:c r="V33" s="108"/>
      <x:c r="W33" s="108"/>
      <x:c r="X33" s="108"/>
      <x:c r="Y33" s="108"/>
      <x:c r="Z33" s="108"/>
      <x:c r="AA33" s="108"/>
      <x:c r="AB33" s="108"/>
      <x:c r="AC33" s="108"/>
      <x:c r="AD33" s="108"/>
      <x:c r="AE33" s="108"/>
      <x:c r="AF33" s="108"/>
      <x:c r="AG33" s="108"/>
      <x:c r="AH33" s="108"/>
      <x:c r="AI33" s="108"/>
      <x:c r="AJ33" s="108"/>
      <x:c r="AK33" s="108"/>
      <x:c r="AL33" s="108"/>
      <x:c r="AM33" s="108"/>
      <x:c r="AN33" s="108"/>
      <x:c r="AO33" s="108"/>
      <x:c r="AP33" s="108"/>
      <x:c r="AQ33" s="108"/>
    </x:row>
    <x:row r="34">
      <x:c r="A34" s="98" t="str">
        <x:v>SaaS recurring revenue</x:v>
      </x:c>
      <x:c r="B34" s="98"/>
      <x:c r="C34" s="98"/>
      <x:c r="D34" s="98"/>
      <x:c r="E34" s="98"/>
      <x:c r="F34" s="98"/>
      <x:c r="G34" s="98" t="str">
        <x:v>Recognized revenue</x:v>
      </x:c>
      <x:c r="H34" s="108" t="n">
        <x:f>H36-H35</x:f>
        <x:v>0</x:v>
      </x:c>
      <x:c r="I34" s="108" t="n">
        <x:f>I36-I35</x:f>
        <x:v>0</x:v>
      </x:c>
      <x:c r="J34" s="108" t="n">
        <x:f>J36-J35</x:f>
        <x:v>0</x:v>
      </x:c>
      <x:c r="K34" s="108" t="n">
        <x:f>K36-K35</x:f>
        <x:v>0</x:v>
      </x:c>
      <x:c r="L34" s="108" t="n">
        <x:f>L36-L35</x:f>
        <x:v>0</x:v>
      </x:c>
      <x:c r="M34" s="108" t="n">
        <x:f>M36-M35</x:f>
        <x:v>2250</x:v>
      </x:c>
      <x:c r="N34" s="108" t="n">
        <x:f>N36-N35</x:f>
        <x:v>2250</x:v>
      </x:c>
      <x:c r="O34" s="108" t="n">
        <x:f>O36-O35</x:f>
        <x:v>4500</x:v>
      </x:c>
      <x:c r="P34" s="108" t="n">
        <x:f>P36-P35</x:f>
        <x:v>4500</x:v>
      </x:c>
      <x:c r="Q34" s="108" t="n">
        <x:f>Q36-Q35</x:f>
        <x:v>6750</x:v>
      </x:c>
      <x:c r="R34" s="108" t="n">
        <x:f>R36-R35</x:f>
        <x:v>6750</x:v>
      </x:c>
      <x:c r="S34" s="108" t="n">
        <x:f>S36-S35</x:f>
        <x:v>9000</x:v>
      </x:c>
      <x:c r="T34" s="108" t="n">
        <x:f>T36-T35</x:f>
        <x:v>9000</x:v>
      </x:c>
      <x:c r="U34" s="108" t="n">
        <x:f>U36-U35</x:f>
        <x:v>12105</x:v>
      </x:c>
      <x:c r="V34" s="108" t="n">
        <x:f>V36-V35</x:f>
        <x:v>15210</x:v>
      </x:c>
      <x:c r="W34" s="108" t="n">
        <x:f>W36-W35</x:f>
        <x:v>15210</x:v>
      </x:c>
      <x:c r="X34" s="108" t="n">
        <x:f>X36-X35</x:f>
        <x:v>18315</x:v>
      </x:c>
      <x:c r="Y34" s="108" t="n">
        <x:f>Y36-Y35</x:f>
        <x:v>21420</x:v>
      </x:c>
      <x:c r="Z34" s="108" t="n">
        <x:f>Z36-Z35</x:f>
        <x:v>21420</x:v>
      </x:c>
      <x:c r="AA34" s="108" t="n">
        <x:f>AA36-AA35</x:f>
        <x:v>24525</x:v>
      </x:c>
      <x:c r="AB34" s="108" t="n">
        <x:f>AB36-AB35</x:f>
        <x:v>27630</x:v>
      </x:c>
      <x:c r="AC34" s="108" t="n">
        <x:f>AC36-AC35</x:f>
        <x:v>27630</x:v>
      </x:c>
      <x:c r="AD34" s="108" t="n">
        <x:f>AD36-AD35</x:f>
        <x:v>30735</x:v>
      </x:c>
      <x:c r="AE34" s="108" t="n">
        <x:f>AE36-AE35</x:f>
        <x:v>33840</x:v>
      </x:c>
      <x:c r="AF34" s="108" t="n">
        <x:f>AF36-AF35</x:f>
        <x:v>33840</x:v>
      </x:c>
      <x:c r="AG34" s="108" t="n">
        <x:f>AG36-AG35</x:f>
        <x:v>36945</x:v>
      </x:c>
      <x:c r="AH34" s="108" t="n">
        <x:f>AH36-AH35</x:f>
        <x:v>40050</x:v>
      </x:c>
      <x:c r="AI34" s="108" t="n">
        <x:f>AI36-AI35</x:f>
        <x:v>43155</x:v>
      </x:c>
      <x:c r="AJ34" s="108" t="n">
        <x:f>AJ36-AJ35</x:f>
        <x:v>46260</x:v>
      </x:c>
      <x:c r="AK34" s="108" t="n">
        <x:f>AK36-AK35</x:f>
        <x:v>49365</x:v>
      </x:c>
      <x:c r="AL34" s="108" t="n">
        <x:f>AL36-AL35</x:f>
        <x:v>52470</x:v>
      </x:c>
      <x:c r="AM34" s="108" t="n">
        <x:f>AM36-AM35</x:f>
        <x:v>55575</x:v>
      </x:c>
      <x:c r="AN34" s="108" t="n">
        <x:f>AN36-AN35</x:f>
        <x:v>58680</x:v>
      </x:c>
      <x:c r="AO34" s="108" t="n">
        <x:f>AO36-AO35</x:f>
        <x:v>61785</x:v>
      </x:c>
      <x:c r="AP34" s="108" t="n">
        <x:f>AP36-AP35</x:f>
        <x:v>64890</x:v>
      </x:c>
      <x:c r="AQ34" s="108" t="n">
        <x:f>AQ36-AQ35</x:f>
        <x:v>71100</x:v>
      </x:c>
    </x:row>
    <x:row r="35">
      <x:c r="A35" s="98" t="str">
        <x:v>Context Activation revenue</x:v>
      </x:c>
      <x:c r="B35" s="98"/>
      <x:c r="C35" s="98"/>
      <x:c r="D35" s="98"/>
      <x:c r="E35" s="98"/>
      <x:c r="F35" s="98"/>
      <x:c r="G35" s="98" t="str">
        <x:v>Recognized on scoped activation</x:v>
      </x:c>
      <x:c r="H35" s="108" t="n">
        <x:f>SUMPRODUCT(($C$6:$C$31=H$5)*$F$6:$F$31)</x:f>
        <x:v>0</x:v>
      </x:c>
      <x:c r="I35" s="108" t="n">
        <x:f>SUMPRODUCT(($C$6:$C$31=I$5)*$F$6:$F$31)</x:f>
        <x:v>0</x:v>
      </x:c>
      <x:c r="J35" s="108" t="n">
        <x:f>SUMPRODUCT(($C$6:$C$31=J$5)*$F$6:$F$31)</x:f>
        <x:v>0</x:v>
      </x:c>
      <x:c r="K35" s="108" t="n">
        <x:f>SUMPRODUCT(($C$6:$C$31=K$5)*$F$6:$F$31)</x:f>
        <x:v>0</x:v>
      </x:c>
      <x:c r="L35" s="108" t="n">
        <x:f>SUMPRODUCT(($C$6:$C$31=L$5)*$F$6:$F$31)</x:f>
        <x:v>0</x:v>
      </x:c>
      <x:c r="M35" s="108" t="n">
        <x:f>SUMPRODUCT(($C$6:$C$31=M$5)*$F$6:$F$31)</x:f>
        <x:v>5000</x:v>
      </x:c>
      <x:c r="N35" s="108" t="n">
        <x:f>SUMPRODUCT(($C$6:$C$31=N$5)*$F$6:$F$31)</x:f>
        <x:v>0</x:v>
      </x:c>
      <x:c r="O35" s="108" t="n">
        <x:f>SUMPRODUCT(($C$6:$C$31=O$5)*$F$6:$F$31)</x:f>
        <x:v>5000</x:v>
      </x:c>
      <x:c r="P35" s="108" t="n">
        <x:f>SUMPRODUCT(($C$6:$C$31=P$5)*$F$6:$F$31)</x:f>
        <x:v>0</x:v>
      </x:c>
      <x:c r="Q35" s="108" t="n">
        <x:f>SUMPRODUCT(($C$6:$C$31=Q$5)*$F$6:$F$31)</x:f>
        <x:v>5000</x:v>
      </x:c>
      <x:c r="R35" s="108" t="n">
        <x:f>SUMPRODUCT(($C$6:$C$31=R$5)*$F$6:$F$31)</x:f>
        <x:v>0</x:v>
      </x:c>
      <x:c r="S35" s="108" t="n">
        <x:f>SUMPRODUCT(($C$6:$C$31=S$5)*$F$6:$F$31)</x:f>
        <x:v>5000</x:v>
      </x:c>
      <x:c r="T35" s="108" t="n">
        <x:f>SUMPRODUCT(($C$6:$C$31=T$5)*$F$6:$F$31)</x:f>
        <x:v>0</x:v>
      </x:c>
      <x:c r="U35" s="108" t="n">
        <x:f>SUMPRODUCT(($C$6:$C$31=U$5)*$F$6:$F$31)</x:f>
        <x:v>5000</x:v>
      </x:c>
      <x:c r="V35" s="108" t="n">
        <x:f>SUMPRODUCT(($C$6:$C$31=V$5)*$F$6:$F$31)</x:f>
        <x:v>5000</x:v>
      </x:c>
      <x:c r="W35" s="108" t="n">
        <x:f>SUMPRODUCT(($C$6:$C$31=W$5)*$F$6:$F$31)</x:f>
        <x:v>0</x:v>
      </x:c>
      <x:c r="X35" s="108" t="n">
        <x:f>SUMPRODUCT(($C$6:$C$31=X$5)*$F$6:$F$31)</x:f>
        <x:v>5000</x:v>
      </x:c>
      <x:c r="Y35" s="108" t="n">
        <x:f>SUMPRODUCT(($C$6:$C$31=Y$5)*$F$6:$F$31)</x:f>
        <x:v>5000</x:v>
      </x:c>
      <x:c r="Z35" s="108" t="n">
        <x:f>SUMPRODUCT(($C$6:$C$31=Z$5)*$F$6:$F$31)</x:f>
        <x:v>0</x:v>
      </x:c>
      <x:c r="AA35" s="108" t="n">
        <x:f>SUMPRODUCT(($C$6:$C$31=AA$5)*$F$6:$F$31)</x:f>
        <x:v>5000</x:v>
      </x:c>
      <x:c r="AB35" s="108" t="n">
        <x:f>SUMPRODUCT(($C$6:$C$31=AB$5)*$F$6:$F$31)</x:f>
        <x:v>5000</x:v>
      </x:c>
      <x:c r="AC35" s="108" t="n">
        <x:f>SUMPRODUCT(($C$6:$C$31=AC$5)*$F$6:$F$31)</x:f>
        <x:v>0</x:v>
      </x:c>
      <x:c r="AD35" s="108" t="n">
        <x:f>SUMPRODUCT(($C$6:$C$31=AD$5)*$F$6:$F$31)</x:f>
        <x:v>5000</x:v>
      </x:c>
      <x:c r="AE35" s="108" t="n">
        <x:f>SUMPRODUCT(($C$6:$C$31=AE$5)*$F$6:$F$31)</x:f>
        <x:v>5000</x:v>
      </x:c>
      <x:c r="AF35" s="108" t="n">
        <x:f>SUMPRODUCT(($C$6:$C$31=AF$5)*$F$6:$F$31)</x:f>
        <x:v>0</x:v>
      </x:c>
      <x:c r="AG35" s="108" t="n">
        <x:f>SUMPRODUCT(($C$6:$C$31=AG$5)*$F$6:$F$31)</x:f>
        <x:v>5000</x:v>
      </x:c>
      <x:c r="AH35" s="108" t="n">
        <x:f>SUMPRODUCT(($C$6:$C$31=AH$5)*$F$6:$F$31)</x:f>
        <x:v>5000</x:v>
      </x:c>
      <x:c r="AI35" s="108" t="n">
        <x:f>SUMPRODUCT(($C$6:$C$31=AI$5)*$F$6:$F$31)</x:f>
        <x:v>5000</x:v>
      </x:c>
      <x:c r="AJ35" s="108" t="n">
        <x:f>SUMPRODUCT(($C$6:$C$31=AJ$5)*$F$6:$F$31)</x:f>
        <x:v>5000</x:v>
      </x:c>
      <x:c r="AK35" s="108" t="n">
        <x:f>SUMPRODUCT(($C$6:$C$31=AK$5)*$F$6:$F$31)</x:f>
        <x:v>5000</x:v>
      </x:c>
      <x:c r="AL35" s="108" t="n">
        <x:f>SUMPRODUCT(($C$6:$C$31=AL$5)*$F$6:$F$31)</x:f>
        <x:v>5000</x:v>
      </x:c>
      <x:c r="AM35" s="108" t="n">
        <x:f>SUMPRODUCT(($C$6:$C$31=AM$5)*$F$6:$F$31)</x:f>
        <x:v>5000</x:v>
      </x:c>
      <x:c r="AN35" s="108" t="n">
        <x:f>SUMPRODUCT(($C$6:$C$31=AN$5)*$F$6:$F$31)</x:f>
        <x:v>5000</x:v>
      </x:c>
      <x:c r="AO35" s="108" t="n">
        <x:f>SUMPRODUCT(($C$6:$C$31=AO$5)*$F$6:$F$31)</x:f>
        <x:v>5000</x:v>
      </x:c>
      <x:c r="AP35" s="108" t="n">
        <x:f>SUMPRODUCT(($C$6:$C$31=AP$5)*$F$6:$F$31)</x:f>
        <x:v>5000</x:v>
      </x:c>
      <x:c r="AQ35" s="108" t="n">
        <x:f>SUMPRODUCT(($C$6:$C$31=AQ$5)*$F$6:$F$31)</x:f>
        <x:v>10000</x:v>
      </x:c>
    </x:row>
    <x:row r="36">
      <x:c r="A36" s="109" t="str">
        <x:v>Total recognized revenue</x:v>
      </x:c>
      <x:c r="B36" s="109"/>
      <x:c r="C36" s="109"/>
      <x:c r="D36" s="109"/>
      <x:c r="E36" s="109"/>
      <x:c r="F36" s="109"/>
      <x:c r="G36" s="109" t="str">
        <x:v>SaaS + activation</x:v>
      </x:c>
      <x:c r="H36" s="110" t="n">
        <x:f>SUM(H6:H31)</x:f>
        <x:v>0</x:v>
      </x:c>
      <x:c r="I36" s="110" t="n">
        <x:f>SUM(I6:I31)</x:f>
        <x:v>0</x:v>
      </x:c>
      <x:c r="J36" s="110" t="n">
        <x:f>SUM(J6:J31)</x:f>
        <x:v>0</x:v>
      </x:c>
      <x:c r="K36" s="110" t="n">
        <x:f>SUM(K6:K31)</x:f>
        <x:v>0</x:v>
      </x:c>
      <x:c r="L36" s="110" t="n">
        <x:f>SUM(L6:L31)</x:f>
        <x:v>0</x:v>
      </x:c>
      <x:c r="M36" s="110" t="n">
        <x:f>SUM(M6:M31)</x:f>
        <x:v>7250</x:v>
      </x:c>
      <x:c r="N36" s="110" t="n">
        <x:f>SUM(N6:N31)</x:f>
        <x:v>2250</x:v>
      </x:c>
      <x:c r="O36" s="110" t="n">
        <x:f>SUM(O6:O31)</x:f>
        <x:v>9500</x:v>
      </x:c>
      <x:c r="P36" s="110" t="n">
        <x:f>SUM(P6:P31)</x:f>
        <x:v>4500</x:v>
      </x:c>
      <x:c r="Q36" s="110" t="n">
        <x:f>SUM(Q6:Q31)</x:f>
        <x:v>11750</x:v>
      </x:c>
      <x:c r="R36" s="110" t="n">
        <x:f>SUM(R6:R31)</x:f>
        <x:v>6750</x:v>
      </x:c>
      <x:c r="S36" s="110" t="n">
        <x:f>SUM(S6:S31)</x:f>
        <x:v>14000</x:v>
      </x:c>
      <x:c r="T36" s="110" t="n">
        <x:f>SUM(T6:T31)</x:f>
        <x:v>9000</x:v>
      </x:c>
      <x:c r="U36" s="110" t="n">
        <x:f>SUM(U6:U31)</x:f>
        <x:v>17105</x:v>
      </x:c>
      <x:c r="V36" s="110" t="n">
        <x:f>SUM(V6:V31)</x:f>
        <x:v>20210</x:v>
      </x:c>
      <x:c r="W36" s="110" t="n">
        <x:f>SUM(W6:W31)</x:f>
        <x:v>15210</x:v>
      </x:c>
      <x:c r="X36" s="110" t="n">
        <x:f>SUM(X6:X31)</x:f>
        <x:v>23315</x:v>
      </x:c>
      <x:c r="Y36" s="110" t="n">
        <x:f>SUM(Y6:Y31)</x:f>
        <x:v>26420</x:v>
      </x:c>
      <x:c r="Z36" s="110" t="n">
        <x:f>SUM(Z6:Z31)</x:f>
        <x:v>21420</x:v>
      </x:c>
      <x:c r="AA36" s="110" t="n">
        <x:f>SUM(AA6:AA31)</x:f>
        <x:v>29525</x:v>
      </x:c>
      <x:c r="AB36" s="110" t="n">
        <x:f>SUM(AB6:AB31)</x:f>
        <x:v>32630</x:v>
      </x:c>
      <x:c r="AC36" s="110" t="n">
        <x:f>SUM(AC6:AC31)</x:f>
        <x:v>27630</x:v>
      </x:c>
      <x:c r="AD36" s="110" t="n">
        <x:f>SUM(AD6:AD31)</x:f>
        <x:v>35735</x:v>
      </x:c>
      <x:c r="AE36" s="110" t="n">
        <x:f>SUM(AE6:AE31)</x:f>
        <x:v>38840</x:v>
      </x:c>
      <x:c r="AF36" s="110" t="n">
        <x:f>SUM(AF6:AF31)</x:f>
        <x:v>33840</x:v>
      </x:c>
      <x:c r="AG36" s="110" t="n">
        <x:f>SUM(AG6:AG31)</x:f>
        <x:v>41945</x:v>
      </x:c>
      <x:c r="AH36" s="110" t="n">
        <x:f>SUM(AH6:AH31)</x:f>
        <x:v>45050</x:v>
      </x:c>
      <x:c r="AI36" s="110" t="n">
        <x:f>SUM(AI6:AI31)</x:f>
        <x:v>48155</x:v>
      </x:c>
      <x:c r="AJ36" s="110" t="n">
        <x:f>SUM(AJ6:AJ31)</x:f>
        <x:v>51260</x:v>
      </x:c>
      <x:c r="AK36" s="110" t="n">
        <x:f>SUM(AK6:AK31)</x:f>
        <x:v>54365</x:v>
      </x:c>
      <x:c r="AL36" s="110" t="n">
        <x:f>SUM(AL6:AL31)</x:f>
        <x:v>57470</x:v>
      </x:c>
      <x:c r="AM36" s="110" t="n">
        <x:f>SUM(AM6:AM31)</x:f>
        <x:v>60575</x:v>
      </x:c>
      <x:c r="AN36" s="110" t="n">
        <x:f>SUM(AN6:AN31)</x:f>
        <x:v>63680</x:v>
      </x:c>
      <x:c r="AO36" s="110" t="n">
        <x:f>SUM(AO6:AO31)</x:f>
        <x:v>66785</x:v>
      </x:c>
      <x:c r="AP36" s="110" t="n">
        <x:f>SUM(AP6:AP31)</x:f>
        <x:v>69890</x:v>
      </x:c>
      <x:c r="AQ36" s="110" t="n">
        <x:f>SUM(AQ6:AQ31)</x:f>
        <x:v>81100</x:v>
      </x:c>
    </x:row>
    <x:row r="37">
      <x:c r="A37" s="111" t="str">
        <x:v>Customer cash receipts</x:v>
      </x:c>
      <x:c r="B37" s="111"/>
      <x:c r="C37" s="111"/>
      <x:c r="D37" s="111"/>
      <x:c r="E37" s="111"/>
      <x:c r="F37" s="111"/>
      <x:c r="G37" s="111" t="str">
        <x:v>Activation current month + SaaS one-month lag</x:v>
      </x:c>
      <x:c r="H37" s="112" t="n">
        <x:f>H35</x:f>
        <x:v>0</x:v>
      </x:c>
      <x:c r="I37" s="112" t="n">
        <x:f>I35+H34</x:f>
        <x:v>0</x:v>
      </x:c>
      <x:c r="J37" s="112" t="n">
        <x:f>J35+I34</x:f>
        <x:v>0</x:v>
      </x:c>
      <x:c r="K37" s="112" t="n">
        <x:f>K35+J34</x:f>
        <x:v>0</x:v>
      </x:c>
      <x:c r="L37" s="112" t="n">
        <x:f>L35+K34</x:f>
        <x:v>0</x:v>
      </x:c>
      <x:c r="M37" s="112" t="n">
        <x:f>M35+L34</x:f>
        <x:v>5000</x:v>
      </x:c>
      <x:c r="N37" s="112" t="n">
        <x:f>N35+M34</x:f>
        <x:v>2250</x:v>
      </x:c>
      <x:c r="O37" s="112" t="n">
        <x:f>O35+N34</x:f>
        <x:v>7250</x:v>
      </x:c>
      <x:c r="P37" s="112" t="n">
        <x:f>P35+O34</x:f>
        <x:v>4500</x:v>
      </x:c>
      <x:c r="Q37" s="112" t="n">
        <x:f>Q35+P34</x:f>
        <x:v>9500</x:v>
      </x:c>
      <x:c r="R37" s="112" t="n">
        <x:f>R35+Q34</x:f>
        <x:v>6750</x:v>
      </x:c>
      <x:c r="S37" s="112" t="n">
        <x:f>S35+R34</x:f>
        <x:v>11750</x:v>
      </x:c>
      <x:c r="T37" s="112" t="n">
        <x:f>T35+S34</x:f>
        <x:v>9000</x:v>
      </x:c>
      <x:c r="U37" s="112" t="n">
        <x:f>U35+T34</x:f>
        <x:v>14000</x:v>
      </x:c>
      <x:c r="V37" s="112" t="n">
        <x:f>V35+U34</x:f>
        <x:v>17105</x:v>
      </x:c>
      <x:c r="W37" s="112" t="n">
        <x:f>W35+V34</x:f>
        <x:v>15210</x:v>
      </x:c>
      <x:c r="X37" s="112" t="n">
        <x:f>X35+W34</x:f>
        <x:v>20210</x:v>
      </x:c>
      <x:c r="Y37" s="112" t="n">
        <x:f>Y35+X34</x:f>
        <x:v>23315</x:v>
      </x:c>
      <x:c r="Z37" s="112" t="n">
        <x:f>Z35+Y34</x:f>
        <x:v>21420</x:v>
      </x:c>
      <x:c r="AA37" s="112" t="n">
        <x:f>AA35+Z34</x:f>
        <x:v>26420</x:v>
      </x:c>
      <x:c r="AB37" s="112" t="n">
        <x:f>AB35+AA34</x:f>
        <x:v>29525</x:v>
      </x:c>
      <x:c r="AC37" s="112" t="n">
        <x:f>AC35+AB34</x:f>
        <x:v>27630</x:v>
      </x:c>
      <x:c r="AD37" s="112" t="n">
        <x:f>AD35+AC34</x:f>
        <x:v>32630</x:v>
      </x:c>
      <x:c r="AE37" s="112" t="n">
        <x:f>AE35+AD34</x:f>
        <x:v>35735</x:v>
      </x:c>
      <x:c r="AF37" s="112" t="n">
        <x:f>AF35+AE34</x:f>
        <x:v>33840</x:v>
      </x:c>
      <x:c r="AG37" s="112" t="n">
        <x:f>AG35+AF34</x:f>
        <x:v>38840</x:v>
      </x:c>
      <x:c r="AH37" s="112" t="n">
        <x:f>AH35+AG34</x:f>
        <x:v>41945</x:v>
      </x:c>
      <x:c r="AI37" s="112" t="n">
        <x:f>AI35+AH34</x:f>
        <x:v>45050</x:v>
      </x:c>
      <x:c r="AJ37" s="112" t="n">
        <x:f>AJ35+AI34</x:f>
        <x:v>48155</x:v>
      </x:c>
      <x:c r="AK37" s="112" t="n">
        <x:f>AK35+AJ34</x:f>
        <x:v>51260</x:v>
      </x:c>
      <x:c r="AL37" s="112" t="n">
        <x:f>AL35+AK34</x:f>
        <x:v>54365</x:v>
      </x:c>
      <x:c r="AM37" s="112" t="n">
        <x:f>AM35+AL34</x:f>
        <x:v>57470</x:v>
      </x:c>
      <x:c r="AN37" s="112" t="n">
        <x:f>AN35+AM34</x:f>
        <x:v>60575</x:v>
      </x:c>
      <x:c r="AO37" s="112" t="n">
        <x:f>AO35+AN34</x:f>
        <x:v>63680</x:v>
      </x:c>
      <x:c r="AP37" s="112" t="n">
        <x:f>AP35+AO34</x:f>
        <x:v>66785</x:v>
      </x:c>
      <x:c r="AQ37" s="112" t="n">
        <x:f>AQ35+AP34</x:f>
        <x:v>74890</x:v>
      </x:c>
    </x:row>
    <x:row r="38">
      <x:c r="A38" s="98"/>
      <x:c r="B38" s="98"/>
      <x:c r="C38" s="98"/>
      <x:c r="D38" s="98"/>
      <x:c r="E38" s="98"/>
      <x:c r="F38" s="98"/>
      <x:c r="G38" s="98"/>
      <x:c r="H38" s="98"/>
      <x:c r="I38" s="98"/>
      <x:c r="J38" s="98"/>
      <x:c r="K38" s="98"/>
      <x:c r="L38" s="98"/>
      <x:c r="M38" s="98"/>
      <x:c r="N38" s="98"/>
      <x:c r="O38" s="98"/>
      <x:c r="P38" s="98"/>
      <x:c r="Q38" s="98"/>
      <x:c r="R38" s="98"/>
      <x:c r="S38" s="98"/>
      <x:c r="T38" s="98"/>
      <x:c r="U38" s="98"/>
      <x:c r="V38" s="98"/>
      <x:c r="W38" s="98"/>
      <x:c r="X38" s="98"/>
      <x:c r="Y38" s="98"/>
      <x:c r="Z38" s="98"/>
      <x:c r="AA38" s="98"/>
      <x:c r="AB38" s="98"/>
      <x:c r="AC38" s="98"/>
      <x:c r="AD38" s="98"/>
      <x:c r="AE38" s="98"/>
      <x:c r="AF38" s="98"/>
      <x:c r="AG38" s="98"/>
      <x:c r="AH38" s="98"/>
      <x:c r="AI38" s="98"/>
      <x:c r="AJ38" s="98"/>
      <x:c r="AK38" s="98"/>
      <x:c r="AL38" s="98"/>
      <x:c r="AM38" s="98"/>
      <x:c r="AN38" s="98"/>
      <x:c r="AO38" s="98"/>
      <x:c r="AP38" s="98"/>
      <x:c r="AQ38" s="98"/>
    </x:row>
    <x:row r="39">
      <x:c r="A39" s="98"/>
      <x:c r="B39" s="98"/>
      <x:c r="C39" s="98"/>
      <x:c r="D39" s="98"/>
      <x:c r="E39" s="98"/>
      <x:c r="F39" s="98"/>
      <x:c r="G39" s="98"/>
      <x:c r="H39" s="98"/>
      <x:c r="I39" s="98"/>
      <x:c r="J39" s="98"/>
      <x:c r="K39" s="98"/>
      <x:c r="L39" s="98"/>
      <x:c r="M39" s="98"/>
      <x:c r="N39" s="98"/>
      <x:c r="O39" s="98"/>
      <x:c r="P39" s="98"/>
      <x:c r="Q39" s="98"/>
      <x:c r="R39" s="98"/>
      <x:c r="S39" s="98"/>
      <x:c r="T39" s="98"/>
      <x:c r="U39" s="98"/>
      <x:c r="V39" s="98"/>
      <x:c r="W39" s="98"/>
      <x:c r="X39" s="98"/>
      <x:c r="Y39" s="98"/>
      <x:c r="Z39" s="98"/>
      <x:c r="AA39" s="98"/>
      <x:c r="AB39" s="98"/>
      <x:c r="AC39" s="98"/>
      <x:c r="AD39" s="98"/>
      <x:c r="AE39" s="98"/>
      <x:c r="AF39" s="98"/>
      <x:c r="AG39" s="98"/>
      <x:c r="AH39" s="98"/>
      <x:c r="AI39" s="98"/>
      <x:c r="AJ39" s="98"/>
      <x:c r="AK39" s="98"/>
      <x:c r="AL39" s="98"/>
      <x:c r="AM39" s="98"/>
      <x:c r="AN39" s="98"/>
      <x:c r="AO39" s="98"/>
      <x:c r="AP39" s="98"/>
      <x:c r="AQ39" s="98"/>
    </x:row>
    <x:row r="40" ht="22" customHeight="1">
      <x:c r="A40" s="113" t="str">
        <x:v>Annual revenue and customer summary</x:v>
      </x:c>
      <x:c r="B40" s="113"/>
      <x:c r="C40" s="113"/>
      <x:c r="D40" s="113"/>
      <x:c r="E40" s="113"/>
      <x:c r="F40" s="113"/>
      <x:c r="G40" s="98"/>
      <x:c r="H40" s="98"/>
      <x:c r="I40" s="98"/>
      <x:c r="J40" s="98"/>
      <x:c r="K40" s="98"/>
      <x:c r="L40" s="98"/>
      <x:c r="M40" s="98"/>
      <x:c r="N40" s="98"/>
      <x:c r="O40" s="98"/>
      <x:c r="P40" s="98"/>
      <x:c r="Q40" s="98"/>
      <x:c r="R40" s="98"/>
      <x:c r="S40" s="98"/>
      <x:c r="T40" s="98"/>
      <x:c r="U40" s="98"/>
      <x:c r="V40" s="98"/>
      <x:c r="W40" s="98"/>
      <x:c r="X40" s="98"/>
      <x:c r="Y40" s="98"/>
      <x:c r="Z40" s="98"/>
      <x:c r="AA40" s="98"/>
      <x:c r="AB40" s="98"/>
      <x:c r="AC40" s="98"/>
      <x:c r="AD40" s="98"/>
      <x:c r="AE40" s="98"/>
      <x:c r="AF40" s="98"/>
      <x:c r="AG40" s="98"/>
      <x:c r="AH40" s="98"/>
      <x:c r="AI40" s="98"/>
      <x:c r="AJ40" s="98"/>
      <x:c r="AK40" s="98"/>
      <x:c r="AL40" s="98"/>
      <x:c r="AM40" s="98"/>
      <x:c r="AN40" s="98"/>
      <x:c r="AO40" s="98"/>
      <x:c r="AP40" s="98"/>
      <x:c r="AQ40" s="98"/>
    </x:row>
    <x:row r="41">
      <x:c r="A41" s="114" t="str">
        <x:v>Metric</x:v>
      </x:c>
      <x:c r="B41" s="115" t="str">
        <x:v>Year 1</x:v>
      </x:c>
      <x:c r="C41" s="115" t="str">
        <x:v>Year 2</x:v>
      </x:c>
      <x:c r="D41" s="116" t="str">
        <x:v>Year 3</x:v>
      </x:c>
      <x:c r="E41" s="98"/>
      <x:c r="F41" s="98"/>
      <x:c r="G41" s="98"/>
      <x:c r="H41" s="98"/>
      <x:c r="I41" s="98"/>
      <x:c r="J41" s="98"/>
      <x:c r="K41" s="98"/>
      <x:c r="L41" s="98"/>
      <x:c r="M41" s="98"/>
      <x:c r="N41" s="98"/>
      <x:c r="O41" s="98"/>
      <x:c r="P41" s="98"/>
      <x:c r="Q41" s="98"/>
      <x:c r="R41" s="98"/>
      <x:c r="S41" s="98"/>
      <x:c r="T41" s="98"/>
      <x:c r="U41" s="98"/>
      <x:c r="V41" s="98"/>
      <x:c r="W41" s="98"/>
      <x:c r="X41" s="98"/>
      <x:c r="Y41" s="98"/>
      <x:c r="Z41" s="98"/>
      <x:c r="AA41" s="98"/>
      <x:c r="AB41" s="98"/>
      <x:c r="AC41" s="98"/>
      <x:c r="AD41" s="98"/>
      <x:c r="AE41" s="98"/>
      <x:c r="AF41" s="98"/>
      <x:c r="AG41" s="98"/>
      <x:c r="AH41" s="98"/>
      <x:c r="AI41" s="98"/>
      <x:c r="AJ41" s="98"/>
      <x:c r="AK41" s="98"/>
      <x:c r="AL41" s="98"/>
      <x:c r="AM41" s="98"/>
      <x:c r="AN41" s="98"/>
      <x:c r="AO41" s="98"/>
      <x:c r="AP41" s="98"/>
      <x:c r="AQ41" s="98"/>
    </x:row>
    <x:row r="42">
      <x:c r="A42" s="98" t="str">
        <x:v>Paying customers at year-end</x:v>
      </x:c>
      <x:c r="B42" s="117" t="n">
        <x:f>COUNTIFS($B$6:$B$31,"Commercial",$C$6:$C$31,"&lt;=12")</x:f>
        <x:v>4</x:v>
      </x:c>
      <x:c r="C42" s="117" t="n">
        <x:f>COUNTIFS($B$6:$B$31,"Commercial",$C$6:$C$31,"&lt;=24")</x:f>
        <x:v>12</x:v>
      </x:c>
      <x:c r="D42" s="117" t="n">
        <x:f>COUNTIFS($B$6:$B$31,"Commercial",$C$6:$C$31,"&lt;=36")</x:f>
        <x:v>24</x:v>
      </x:c>
      <x:c r="E42" s="98"/>
      <x:c r="F42" s="98"/>
      <x:c r="G42" s="98"/>
      <x:c r="H42" s="98"/>
      <x:c r="I42" s="98"/>
      <x:c r="J42" s="98"/>
      <x:c r="K42" s="98"/>
      <x:c r="L42" s="98"/>
      <x:c r="M42" s="98"/>
      <x:c r="N42" s="98"/>
      <x:c r="O42" s="98"/>
      <x:c r="P42" s="98"/>
      <x:c r="Q42" s="98"/>
      <x:c r="R42" s="98"/>
      <x:c r="S42" s="98"/>
      <x:c r="T42" s="98"/>
      <x:c r="U42" s="98"/>
      <x:c r="V42" s="98"/>
      <x:c r="W42" s="98"/>
      <x:c r="X42" s="98"/>
      <x:c r="Y42" s="98"/>
      <x:c r="Z42" s="98"/>
      <x:c r="AA42" s="98"/>
      <x:c r="AB42" s="98"/>
      <x:c r="AC42" s="98"/>
      <x:c r="AD42" s="98"/>
      <x:c r="AE42" s="98"/>
      <x:c r="AF42" s="98"/>
      <x:c r="AG42" s="98"/>
      <x:c r="AH42" s="98"/>
      <x:c r="AI42" s="98"/>
      <x:c r="AJ42" s="98"/>
      <x:c r="AK42" s="98"/>
      <x:c r="AL42" s="98"/>
      <x:c r="AM42" s="98"/>
      <x:c r="AN42" s="98"/>
      <x:c r="AO42" s="98"/>
      <x:c r="AP42" s="98"/>
      <x:c r="AQ42" s="98"/>
    </x:row>
    <x:row r="43">
      <x:c r="A43" s="98" t="str">
        <x:v>SaaS revenue</x:v>
      </x:c>
      <x:c r="B43" s="108" t="n">
        <x:f>SUM(H34:S34)</x:f>
        <x:v>36000</x:v>
      </x:c>
      <x:c r="C43" s="108" t="n">
        <x:f>SUM(T34:AE34)</x:f>
        <x:v>257040</x:v>
      </x:c>
      <x:c r="D43" s="108" t="n">
        <x:f>SUM(AF34:AQ34)</x:f>
        <x:v>614115</x:v>
      </x:c>
      <x:c r="E43" s="98"/>
      <x:c r="F43" s="98"/>
      <x:c r="G43" s="98"/>
      <x:c r="H43" s="98"/>
      <x:c r="I43" s="98"/>
      <x:c r="J43" s="98"/>
      <x:c r="K43" s="98"/>
      <x:c r="L43" s="98"/>
      <x:c r="M43" s="98"/>
      <x:c r="N43" s="98"/>
      <x:c r="O43" s="98"/>
      <x:c r="P43" s="98"/>
      <x:c r="Q43" s="98"/>
      <x:c r="R43" s="98"/>
      <x:c r="S43" s="98"/>
      <x:c r="T43" s="98"/>
      <x:c r="U43" s="98"/>
      <x:c r="V43" s="98"/>
      <x:c r="W43" s="98"/>
      <x:c r="X43" s="98"/>
      <x:c r="Y43" s="98"/>
      <x:c r="Z43" s="98"/>
      <x:c r="AA43" s="98"/>
      <x:c r="AB43" s="98"/>
      <x:c r="AC43" s="98"/>
      <x:c r="AD43" s="98"/>
      <x:c r="AE43" s="98"/>
      <x:c r="AF43" s="98"/>
      <x:c r="AG43" s="98"/>
      <x:c r="AH43" s="98"/>
      <x:c r="AI43" s="98"/>
      <x:c r="AJ43" s="98"/>
      <x:c r="AK43" s="98"/>
      <x:c r="AL43" s="98"/>
      <x:c r="AM43" s="98"/>
      <x:c r="AN43" s="98"/>
      <x:c r="AO43" s="98"/>
      <x:c r="AP43" s="98"/>
      <x:c r="AQ43" s="98"/>
    </x:row>
    <x:row r="44">
      <x:c r="A44" s="98" t="str">
        <x:v>Context Activation revenue</x:v>
      </x:c>
      <x:c r="B44" s="108" t="n">
        <x:f>SUM(H35:S35)</x:f>
        <x:v>20000</x:v>
      </x:c>
      <x:c r="C44" s="108" t="n">
        <x:f>SUM(T35:AE35)</x:f>
        <x:v>40000</x:v>
      </x:c>
      <x:c r="D44" s="108" t="n">
        <x:f>SUM(AF35:AQ35)</x:f>
        <x:v>60000</x:v>
      </x:c>
      <x:c r="E44" s="98"/>
      <x:c r="F44" s="98"/>
      <x:c r="G44" s="98"/>
      <x:c r="H44" s="98"/>
      <x:c r="I44" s="98"/>
      <x:c r="J44" s="98"/>
      <x:c r="K44" s="98"/>
      <x:c r="L44" s="98"/>
      <x:c r="M44" s="98"/>
      <x:c r="N44" s="98"/>
      <x:c r="O44" s="98"/>
      <x:c r="P44" s="98"/>
      <x:c r="Q44" s="98"/>
      <x:c r="R44" s="98"/>
      <x:c r="S44" s="98"/>
      <x:c r="T44" s="98"/>
      <x:c r="U44" s="98"/>
      <x:c r="V44" s="98"/>
      <x:c r="W44" s="98"/>
      <x:c r="X44" s="98"/>
      <x:c r="Y44" s="98"/>
      <x:c r="Z44" s="98"/>
      <x:c r="AA44" s="98"/>
      <x:c r="AB44" s="98"/>
      <x:c r="AC44" s="98"/>
      <x:c r="AD44" s="98"/>
      <x:c r="AE44" s="98"/>
      <x:c r="AF44" s="98"/>
      <x:c r="AG44" s="98"/>
      <x:c r="AH44" s="98"/>
      <x:c r="AI44" s="98"/>
      <x:c r="AJ44" s="98"/>
      <x:c r="AK44" s="98"/>
      <x:c r="AL44" s="98"/>
      <x:c r="AM44" s="98"/>
      <x:c r="AN44" s="98"/>
      <x:c r="AO44" s="98"/>
      <x:c r="AP44" s="98"/>
      <x:c r="AQ44" s="98"/>
    </x:row>
    <x:row r="45">
      <x:c r="A45" s="109" t="str">
        <x:v>Total recognized revenue</x:v>
      </x:c>
      <x:c r="B45" s="110" t="n">
        <x:f>SUM(H36:S36)</x:f>
        <x:v>56000</x:v>
      </x:c>
      <x:c r="C45" s="110" t="n">
        <x:f>SUM(T36:AE36)</x:f>
        <x:v>297040</x:v>
      </x:c>
      <x:c r="D45" s="110" t="n">
        <x:f>SUM(AF36:AQ36)</x:f>
        <x:v>674115</x:v>
      </x:c>
      <x:c r="E45" s="98"/>
      <x:c r="F45" s="98"/>
      <x:c r="G45" s="98"/>
      <x:c r="H45" s="98"/>
      <x:c r="I45" s="98"/>
      <x:c r="J45" s="98"/>
      <x:c r="K45" s="98"/>
      <x:c r="L45" s="98"/>
      <x:c r="M45" s="98"/>
      <x:c r="N45" s="98"/>
      <x:c r="O45" s="98"/>
      <x:c r="P45" s="98"/>
      <x:c r="Q45" s="98"/>
      <x:c r="R45" s="98"/>
      <x:c r="S45" s="98"/>
      <x:c r="T45" s="98"/>
      <x:c r="U45" s="98"/>
      <x:c r="V45" s="98"/>
      <x:c r="W45" s="98"/>
      <x:c r="X45" s="98"/>
      <x:c r="Y45" s="98"/>
      <x:c r="Z45" s="98"/>
      <x:c r="AA45" s="98"/>
      <x:c r="AB45" s="98"/>
      <x:c r="AC45" s="98"/>
      <x:c r="AD45" s="98"/>
      <x:c r="AE45" s="98"/>
      <x:c r="AF45" s="98"/>
      <x:c r="AG45" s="98"/>
      <x:c r="AH45" s="98"/>
      <x:c r="AI45" s="98"/>
      <x:c r="AJ45" s="98"/>
      <x:c r="AK45" s="98"/>
      <x:c r="AL45" s="98"/>
      <x:c r="AM45" s="98"/>
      <x:c r="AN45" s="98"/>
      <x:c r="AO45" s="98"/>
      <x:c r="AP45" s="98"/>
      <x:c r="AQ45" s="98"/>
    </x:row>
    <x:row r="46">
      <x:c r="A46" s="118" t="str">
        <x:v>Customer cash receipts</x:v>
      </x:c>
      <x:c r="B46" s="119" t="n">
        <x:f>SUM(H37:S37)</x:f>
        <x:v>47000</x:v>
      </x:c>
      <x:c r="C46" s="119" t="n">
        <x:f>SUM(T37:AE37)</x:f>
        <x:v>272200</x:v>
      </x:c>
      <x:c r="D46" s="119" t="n">
        <x:f>SUM(AF37:AQ37)</x:f>
        <x:v>636855</x:v>
      </x:c>
      <x:c r="E46" s="98"/>
      <x:c r="F46" s="98"/>
      <x:c r="G46" s="98"/>
      <x:c r="H46" s="98"/>
      <x:c r="I46" s="98"/>
      <x:c r="J46" s="98"/>
      <x:c r="K46" s="98"/>
      <x:c r="L46" s="98"/>
      <x:c r="M46" s="98"/>
      <x:c r="N46" s="98"/>
      <x:c r="O46" s="98"/>
      <x:c r="P46" s="98"/>
      <x:c r="Q46" s="98"/>
      <x:c r="R46" s="98"/>
      <x:c r="S46" s="98"/>
      <x:c r="T46" s="98"/>
      <x:c r="U46" s="98"/>
      <x:c r="V46" s="98"/>
      <x:c r="W46" s="98"/>
      <x:c r="X46" s="98"/>
      <x:c r="Y46" s="98"/>
      <x:c r="Z46" s="98"/>
      <x:c r="AA46" s="98"/>
      <x:c r="AB46" s="98"/>
      <x:c r="AC46" s="98"/>
      <x:c r="AD46" s="98"/>
      <x:c r="AE46" s="98"/>
      <x:c r="AF46" s="98"/>
      <x:c r="AG46" s="98"/>
      <x:c r="AH46" s="98"/>
      <x:c r="AI46" s="98"/>
      <x:c r="AJ46" s="98"/>
      <x:c r="AK46" s="98"/>
      <x:c r="AL46" s="98"/>
      <x:c r="AM46" s="98"/>
      <x:c r="AN46" s="98"/>
      <x:c r="AO46" s="98"/>
      <x:c r="AP46" s="98"/>
      <x:c r="AQ46" s="98"/>
    </x:row>
    <x:row r="47">
      <x:c r="A47" s="111" t="str">
        <x:v>End ARR</x:v>
      </x:c>
      <x:c r="B47" s="112" t="n">
        <x:f>S34*12</x:f>
        <x:v>108000</x:v>
      </x:c>
      <x:c r="C47" s="112" t="n">
        <x:f>AE34*12</x:f>
        <x:v>406080</x:v>
      </x:c>
      <x:c r="D47" s="112" t="n">
        <x:f>AQ34*12</x:f>
        <x:v>853200</x:v>
      </x:c>
      <x:c r="E47" s="98"/>
      <x:c r="F47" s="98"/>
      <x:c r="G47" s="98"/>
      <x:c r="H47" s="98"/>
      <x:c r="I47" s="98"/>
      <x:c r="J47" s="98"/>
      <x:c r="K47" s="98"/>
      <x:c r="L47" s="98"/>
      <x:c r="M47" s="98"/>
      <x:c r="N47" s="98"/>
      <x:c r="O47" s="98"/>
      <x:c r="P47" s="98"/>
      <x:c r="Q47" s="98"/>
      <x:c r="R47" s="98"/>
      <x:c r="S47" s="98"/>
      <x:c r="T47" s="98"/>
      <x:c r="U47" s="98"/>
      <x:c r="V47" s="98"/>
      <x:c r="W47" s="98"/>
      <x:c r="X47" s="98"/>
      <x:c r="Y47" s="98"/>
      <x:c r="Z47" s="98"/>
      <x:c r="AA47" s="98"/>
      <x:c r="AB47" s="98"/>
      <x:c r="AC47" s="98"/>
      <x:c r="AD47" s="98"/>
      <x:c r="AE47" s="98"/>
      <x:c r="AF47" s="98"/>
      <x:c r="AG47" s="98"/>
      <x:c r="AH47" s="98"/>
      <x:c r="AI47" s="98"/>
      <x:c r="AJ47" s="98"/>
      <x:c r="AK47" s="98"/>
      <x:c r="AL47" s="98"/>
      <x:c r="AM47" s="98"/>
      <x:c r="AN47" s="98"/>
      <x:c r="AO47" s="98"/>
      <x:c r="AP47" s="98"/>
      <x:c r="AQ47" s="98"/>
    </x:row>
  </x:sheetData>
  <x:mergeCells>
    <x:mergeCell ref="A1:H1"/>
    <x:mergeCell ref="A2:H2"/>
    <x:mergeCell ref="A40:F4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0"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1" hidden="0" customWidth="1"/>
    <x:col min="31" max="31" width="11" hidden="0" customWidth="1"/>
    <x:col min="32" max="32" width="11" hidden="0" customWidth="1"/>
    <x:col min="33" max="33" width="11" hidden="0" customWidth="1"/>
    <x:col min="34" max="34" width="11" hidden="0" customWidth="1"/>
    <x:col min="35" max="35" width="11" hidden="0" customWidth="1"/>
    <x:col min="36" max="36" width="11" hidden="0" customWidth="1"/>
    <x:col min="37" max="37" width="11" hidden="0" customWidth="1"/>
  </x:cols>
  <x:sheetData>
    <x:row r="1" ht="30" customHeight="1">
      <x:c r="A1" s="57" t="str">
        <x:v>Personnel &amp; Opex</x:v>
      </x:c>
      <x:c r="B1" s="97"/>
      <x:c r="C1" s="97"/>
      <x:c r="D1" s="97"/>
      <x:c r="E1" s="97"/>
      <x:c r="F1" s="97"/>
      <x:c r="G1" s="97"/>
      <x:c r="H1" s="97"/>
      <x:c r="I1" s="98"/>
      <x:c r="J1" s="98"/>
      <x:c r="K1" s="98"/>
      <x:c r="L1" s="98"/>
      <x:c r="M1" s="98"/>
      <x:c r="N1" s="98"/>
      <x:c r="O1" s="98"/>
      <x:c r="P1" s="98"/>
      <x:c r="Q1" s="98"/>
      <x:c r="R1" s="98"/>
      <x:c r="S1" s="98"/>
      <x:c r="T1" s="98"/>
      <x:c r="U1" s="98"/>
      <x:c r="V1" s="98"/>
      <x:c r="W1" s="98"/>
      <x:c r="X1" s="98"/>
      <x:c r="Y1" s="98"/>
      <x:c r="Z1" s="98"/>
      <x:c r="AA1" s="98"/>
      <x:c r="AB1" s="98"/>
      <x:c r="AC1" s="98"/>
      <x:c r="AD1" s="98"/>
      <x:c r="AE1" s="98"/>
      <x:c r="AF1" s="98"/>
      <x:c r="AG1" s="98"/>
      <x:c r="AH1" s="98"/>
      <x:c r="AI1" s="98"/>
      <x:c r="AJ1" s="98"/>
      <x:c r="AK1" s="98"/>
    </x:row>
    <x:row r="2" ht="22" customHeight="1">
      <x:c r="A2" s="99" t="str">
        <x:v>No fixed founder payroll in Year 1; up to 80k personnel only after separate funding</x:v>
      </x:c>
      <x:c r="B2" s="99"/>
      <x:c r="C2" s="99"/>
      <x:c r="D2" s="99"/>
      <x:c r="E2" s="99"/>
      <x:c r="F2" s="99"/>
      <x:c r="G2" s="99"/>
      <x:c r="H2" s="99"/>
      <x:c r="I2" s="98"/>
      <x:c r="J2" s="98"/>
      <x:c r="K2" s="98"/>
      <x:c r="L2" s="98"/>
      <x:c r="M2" s="98"/>
      <x:c r="N2" s="98"/>
      <x:c r="O2" s="98"/>
      <x:c r="P2" s="98"/>
      <x:c r="Q2" s="98"/>
      <x:c r="R2" s="98"/>
      <x:c r="S2" s="98"/>
      <x:c r="T2" s="98"/>
      <x:c r="U2" s="98"/>
      <x:c r="V2" s="98"/>
      <x:c r="W2" s="98"/>
      <x:c r="X2" s="98"/>
      <x:c r="Y2" s="98"/>
      <x:c r="Z2" s="98"/>
      <x:c r="AA2" s="98"/>
      <x:c r="AB2" s="98"/>
      <x:c r="AC2" s="98"/>
      <x:c r="AD2" s="98"/>
      <x:c r="AE2" s="98"/>
      <x:c r="AF2" s="98"/>
      <x:c r="AG2" s="98"/>
      <x:c r="AH2" s="98"/>
      <x:c r="AI2" s="98"/>
      <x:c r="AJ2" s="98"/>
      <x:c r="AK2" s="98"/>
    </x:row>
    <x:row r="3">
      <x:c r="A3" s="98"/>
      <x:c r="B3" s="98"/>
      <x:c r="C3" s="98"/>
      <x:c r="D3" s="98"/>
      <x:c r="E3" s="98"/>
      <x:c r="F3" s="98"/>
      <x:c r="G3" s="98"/>
      <x:c r="H3" s="98"/>
      <x:c r="I3" s="98"/>
      <x:c r="J3" s="98"/>
      <x:c r="K3" s="98"/>
      <x:c r="L3" s="98"/>
      <x:c r="M3" s="98"/>
      <x:c r="N3" s="98"/>
      <x:c r="O3" s="98"/>
      <x:c r="P3" s="98"/>
      <x:c r="Q3" s="98"/>
      <x:c r="R3" s="98"/>
      <x:c r="S3" s="98"/>
      <x:c r="T3" s="98"/>
      <x:c r="U3" s="98"/>
      <x:c r="V3" s="98"/>
      <x:c r="W3" s="98"/>
      <x:c r="X3" s="98"/>
      <x:c r="Y3" s="98"/>
      <x:c r="Z3" s="98"/>
      <x:c r="AA3" s="98"/>
      <x:c r="AB3" s="98"/>
      <x:c r="AC3" s="98"/>
      <x:c r="AD3" s="98"/>
      <x:c r="AE3" s="98"/>
      <x:c r="AF3" s="98"/>
      <x:c r="AG3" s="98"/>
      <x:c r="AH3" s="98"/>
      <x:c r="AI3" s="98"/>
      <x:c r="AJ3" s="98"/>
      <x:c r="AK3" s="98"/>
    </x:row>
    <x:row r="4">
      <x:c r="A4" s="114" t="str">
        <x:v>Gross monthly salary / cost driver</x:v>
      </x:c>
      <x:c r="B4" s="115" t="str">
        <x:v>M1</x:v>
      </x:c>
      <x:c r="C4" s="115" t="str">
        <x:v>M2</x:v>
      </x:c>
      <x:c r="D4" s="115" t="str">
        <x:v>M3</x:v>
      </x:c>
      <x:c r="E4" s="115" t="str">
        <x:v>M4</x:v>
      </x:c>
      <x:c r="F4" s="115" t="str">
        <x:v>M5</x:v>
      </x:c>
      <x:c r="G4" s="115" t="str">
        <x:v>M6</x:v>
      </x:c>
      <x:c r="H4" s="115" t="str">
        <x:v>M7</x:v>
      </x:c>
      <x:c r="I4" s="115" t="str">
        <x:v>M8</x:v>
      </x:c>
      <x:c r="J4" s="115" t="str">
        <x:v>M9</x:v>
      </x:c>
      <x:c r="K4" s="115" t="str">
        <x:v>M10</x:v>
      </x:c>
      <x:c r="L4" s="115" t="str">
        <x:v>M11</x:v>
      </x:c>
      <x:c r="M4" s="115" t="str">
        <x:v>M12</x:v>
      </x:c>
      <x:c r="N4" s="115" t="str">
        <x:v>M13</x:v>
      </x:c>
      <x:c r="O4" s="115" t="str">
        <x:v>M14</x:v>
      </x:c>
      <x:c r="P4" s="115" t="str">
        <x:v>M15</x:v>
      </x:c>
      <x:c r="Q4" s="115" t="str">
        <x:v>M16</x:v>
      </x:c>
      <x:c r="R4" s="115" t="str">
        <x:v>M17</x:v>
      </x:c>
      <x:c r="S4" s="115" t="str">
        <x:v>M18</x:v>
      </x:c>
      <x:c r="T4" s="115" t="str">
        <x:v>M19</x:v>
      </x:c>
      <x:c r="U4" s="115" t="str">
        <x:v>M20</x:v>
      </x:c>
      <x:c r="V4" s="115" t="str">
        <x:v>M21</x:v>
      </x:c>
      <x:c r="W4" s="115" t="str">
        <x:v>M22</x:v>
      </x:c>
      <x:c r="X4" s="115" t="str">
        <x:v>M23</x:v>
      </x:c>
      <x:c r="Y4" s="115" t="str">
        <x:v>M24</x:v>
      </x:c>
      <x:c r="Z4" s="115" t="str">
        <x:v>M25</x:v>
      </x:c>
      <x:c r="AA4" s="115" t="str">
        <x:v>M26</x:v>
      </x:c>
      <x:c r="AB4" s="115" t="str">
        <x:v>M27</x:v>
      </x:c>
      <x:c r="AC4" s="115" t="str">
        <x:v>M28</x:v>
      </x:c>
      <x:c r="AD4" s="115" t="str">
        <x:v>M29</x:v>
      </x:c>
      <x:c r="AE4" s="115" t="str">
        <x:v>M30</x:v>
      </x:c>
      <x:c r="AF4" s="115" t="str">
        <x:v>M31</x:v>
      </x:c>
      <x:c r="AG4" s="115" t="str">
        <x:v>M32</x:v>
      </x:c>
      <x:c r="AH4" s="115" t="str">
        <x:v>M33</x:v>
      </x:c>
      <x:c r="AI4" s="115" t="str">
        <x:v>M34</x:v>
      </x:c>
      <x:c r="AJ4" s="115" t="str">
        <x:v>M35</x:v>
      </x:c>
      <x:c r="AK4" s="116" t="str">
        <x:v>M36</x:v>
      </x:c>
    </x:row>
    <x:row r="5">
      <x:c r="A5" s="98" t="str">
        <x:v>CEO gross</x:v>
      </x:c>
      <x:c r="B5" s="107" t="n">
        <x:v>0</x:v>
      </x:c>
      <x:c r="C5" s="107" t="n">
        <x:v>0</x:v>
      </x:c>
      <x:c r="D5" s="107" t="n">
        <x:v>0</x:v>
      </x:c>
      <x:c r="E5" s="107" t="n">
        <x:v>0</x:v>
      </x:c>
      <x:c r="F5" s="107" t="n">
        <x:v>0</x:v>
      </x:c>
      <x:c r="G5" s="107" t="n">
        <x:v>0</x:v>
      </x:c>
      <x:c r="H5" s="107" t="n">
        <x:v>0</x:v>
      </x:c>
      <x:c r="I5" s="107" t="n">
        <x:v>0</x:v>
      </x:c>
      <x:c r="J5" s="107" t="n">
        <x:v>0</x:v>
      </x:c>
      <x:c r="K5" s="107" t="n">
        <x:v>0</x:v>
      </x:c>
      <x:c r="L5" s="107" t="n">
        <x:v>0</x:v>
      </x:c>
      <x:c r="M5" s="107" t="n">
        <x:v>0</x:v>
      </x:c>
      <x:c r="N5" s="107" t="n">
        <x:v>4000</x:v>
      </x:c>
      <x:c r="O5" s="107" t="n">
        <x:v>4000</x:v>
      </x:c>
      <x:c r="P5" s="107" t="n">
        <x:v>4000</x:v>
      </x:c>
      <x:c r="Q5" s="107" t="n">
        <x:v>4000</x:v>
      </x:c>
      <x:c r="R5" s="107" t="n">
        <x:v>4000</x:v>
      </x:c>
      <x:c r="S5" s="107" t="n">
        <x:v>4000</x:v>
      </x:c>
      <x:c r="T5" s="107" t="n">
        <x:v>4000</x:v>
      </x:c>
      <x:c r="U5" s="107" t="n">
        <x:v>4000</x:v>
      </x:c>
      <x:c r="V5" s="107" t="n">
        <x:v>4000</x:v>
      </x:c>
      <x:c r="W5" s="107" t="n">
        <x:v>4000</x:v>
      </x:c>
      <x:c r="X5" s="107" t="n">
        <x:v>4000</x:v>
      </x:c>
      <x:c r="Y5" s="107" t="n">
        <x:v>4000</x:v>
      </x:c>
      <x:c r="Z5" s="107" t="n">
        <x:v>4500</x:v>
      </x:c>
      <x:c r="AA5" s="107" t="n">
        <x:v>4500</x:v>
      </x:c>
      <x:c r="AB5" s="107" t="n">
        <x:v>4500</x:v>
      </x:c>
      <x:c r="AC5" s="107" t="n">
        <x:v>4500</x:v>
      </x:c>
      <x:c r="AD5" s="107" t="n">
        <x:v>4500</x:v>
      </x:c>
      <x:c r="AE5" s="107" t="n">
        <x:v>4500</x:v>
      </x:c>
      <x:c r="AF5" s="107" t="n">
        <x:v>4500</x:v>
      </x:c>
      <x:c r="AG5" s="107" t="n">
        <x:v>4500</x:v>
      </x:c>
      <x:c r="AH5" s="107" t="n">
        <x:v>4500</x:v>
      </x:c>
      <x:c r="AI5" s="107" t="n">
        <x:v>4500</x:v>
      </x:c>
      <x:c r="AJ5" s="107" t="n">
        <x:v>4500</x:v>
      </x:c>
      <x:c r="AK5" s="107" t="n">
        <x:v>4500</x:v>
      </x:c>
    </x:row>
    <x:row r="6">
      <x:c r="A6" s="98" t="str">
        <x:v>CTO gross</x:v>
      </x:c>
      <x:c r="B6" s="107" t="n">
        <x:v>0</x:v>
      </x:c>
      <x:c r="C6" s="107" t="n">
        <x:v>0</x:v>
      </x:c>
      <x:c r="D6" s="107" t="n">
        <x:v>0</x:v>
      </x:c>
      <x:c r="E6" s="107" t="n">
        <x:v>0</x:v>
      </x:c>
      <x:c r="F6" s="107" t="n">
        <x:v>0</x:v>
      </x:c>
      <x:c r="G6" s="107" t="n">
        <x:v>0</x:v>
      </x:c>
      <x:c r="H6" s="107" t="n">
        <x:v>0</x:v>
      </x:c>
      <x:c r="I6" s="107" t="n">
        <x:v>0</x:v>
      </x:c>
      <x:c r="J6" s="107" t="n">
        <x:v>0</x:v>
      </x:c>
      <x:c r="K6" s="107" t="n">
        <x:v>0</x:v>
      </x:c>
      <x:c r="L6" s="107" t="n">
        <x:v>0</x:v>
      </x:c>
      <x:c r="M6" s="107" t="n">
        <x:v>0</x:v>
      </x:c>
      <x:c r="N6" s="107" t="n">
        <x:v>5000</x:v>
      </x:c>
      <x:c r="O6" s="107" t="n">
        <x:v>5000</x:v>
      </x:c>
      <x:c r="P6" s="107" t="n">
        <x:v>5000</x:v>
      </x:c>
      <x:c r="Q6" s="107" t="n">
        <x:v>5000</x:v>
      </x:c>
      <x:c r="R6" s="107" t="n">
        <x:v>5000</x:v>
      </x:c>
      <x:c r="S6" s="107" t="n">
        <x:v>5000</x:v>
      </x:c>
      <x:c r="T6" s="107" t="n">
        <x:v>5000</x:v>
      </x:c>
      <x:c r="U6" s="107" t="n">
        <x:v>5000</x:v>
      </x:c>
      <x:c r="V6" s="107" t="n">
        <x:v>5000</x:v>
      </x:c>
      <x:c r="W6" s="107" t="n">
        <x:v>5000</x:v>
      </x:c>
      <x:c r="X6" s="107" t="n">
        <x:v>5000</x:v>
      </x:c>
      <x:c r="Y6" s="107" t="n">
        <x:v>5000</x:v>
      </x:c>
      <x:c r="Z6" s="107" t="n">
        <x:v>5500</x:v>
      </x:c>
      <x:c r="AA6" s="107" t="n">
        <x:v>5500</x:v>
      </x:c>
      <x:c r="AB6" s="107" t="n">
        <x:v>5500</x:v>
      </x:c>
      <x:c r="AC6" s="107" t="n">
        <x:v>5500</x:v>
      </x:c>
      <x:c r="AD6" s="107" t="n">
        <x:v>5500</x:v>
      </x:c>
      <x:c r="AE6" s="107" t="n">
        <x:v>5500</x:v>
      </x:c>
      <x:c r="AF6" s="107" t="n">
        <x:v>5500</x:v>
      </x:c>
      <x:c r="AG6" s="107" t="n">
        <x:v>5500</x:v>
      </x:c>
      <x:c r="AH6" s="107" t="n">
        <x:v>5500</x:v>
      </x:c>
      <x:c r="AI6" s="107" t="n">
        <x:v>5500</x:v>
      </x:c>
      <x:c r="AJ6" s="107" t="n">
        <x:v>5500</x:v>
      </x:c>
      <x:c r="AK6" s="107" t="n">
        <x:v>5500</x:v>
      </x:c>
    </x:row>
    <x:row r="7">
      <x:c r="A7" s="98" t="str">
        <x:v>CPO gross</x:v>
      </x:c>
      <x:c r="B7" s="107" t="n">
        <x:v>0</x:v>
      </x:c>
      <x:c r="C7" s="107" t="n">
        <x:v>0</x:v>
      </x:c>
      <x:c r="D7" s="107" t="n">
        <x:v>0</x:v>
      </x:c>
      <x:c r="E7" s="107" t="n">
        <x:v>0</x:v>
      </x:c>
      <x:c r="F7" s="107" t="n">
        <x:v>0</x:v>
      </x:c>
      <x:c r="G7" s="107" t="n">
        <x:v>0</x:v>
      </x:c>
      <x:c r="H7" s="107" t="n">
        <x:v>0</x:v>
      </x:c>
      <x:c r="I7" s="107" t="n">
        <x:v>0</x:v>
      </x:c>
      <x:c r="J7" s="107" t="n">
        <x:v>0</x:v>
      </x:c>
      <x:c r="K7" s="107" t="n">
        <x:v>0</x:v>
      </x:c>
      <x:c r="L7" s="107" t="n">
        <x:v>0</x:v>
      </x:c>
      <x:c r="M7" s="107" t="n">
        <x:v>0</x:v>
      </x:c>
      <x:c r="N7" s="107" t="n">
        <x:v>2500</x:v>
      </x:c>
      <x:c r="O7" s="107" t="n">
        <x:v>2500</x:v>
      </x:c>
      <x:c r="P7" s="107" t="n">
        <x:v>2500</x:v>
      </x:c>
      <x:c r="Q7" s="107" t="n">
        <x:v>2500</x:v>
      </x:c>
      <x:c r="R7" s="107" t="n">
        <x:v>2500</x:v>
      </x:c>
      <x:c r="S7" s="107" t="n">
        <x:v>2500</x:v>
      </x:c>
      <x:c r="T7" s="107" t="n">
        <x:v>2500</x:v>
      </x:c>
      <x:c r="U7" s="107" t="n">
        <x:v>2500</x:v>
      </x:c>
      <x:c r="V7" s="107" t="n">
        <x:v>2500</x:v>
      </x:c>
      <x:c r="W7" s="107" t="n">
        <x:v>2500</x:v>
      </x:c>
      <x:c r="X7" s="107" t="n">
        <x:v>2500</x:v>
      </x:c>
      <x:c r="Y7" s="107" t="n">
        <x:v>2500</x:v>
      </x:c>
      <x:c r="Z7" s="107" t="n">
        <x:v>3000</x:v>
      </x:c>
      <x:c r="AA7" s="107" t="n">
        <x:v>3000</x:v>
      </x:c>
      <x:c r="AB7" s="107" t="n">
        <x:v>3000</x:v>
      </x:c>
      <x:c r="AC7" s="107" t="n">
        <x:v>3000</x:v>
      </x:c>
      <x:c r="AD7" s="107" t="n">
        <x:v>3000</x:v>
      </x:c>
      <x:c r="AE7" s="107" t="n">
        <x:v>3000</x:v>
      </x:c>
      <x:c r="AF7" s="107" t="n">
        <x:v>3000</x:v>
      </x:c>
      <x:c r="AG7" s="107" t="n">
        <x:v>3000</x:v>
      </x:c>
      <x:c r="AH7" s="107" t="n">
        <x:v>3000</x:v>
      </x:c>
      <x:c r="AI7" s="107" t="n">
        <x:v>3000</x:v>
      </x:c>
      <x:c r="AJ7" s="107" t="n">
        <x:v>3000</x:v>
      </x:c>
      <x:c r="AK7" s="107" t="n">
        <x:v>3000</x:v>
      </x:c>
    </x:row>
    <x:row r="8">
      <x:c r="A8" s="98" t="str">
        <x:v>Founding Engineer gross</x:v>
      </x:c>
      <x:c r="B8" s="107" t="n">
        <x:v>0</x:v>
      </x:c>
      <x:c r="C8" s="107" t="n">
        <x:v>0</x:v>
      </x:c>
      <x:c r="D8" s="107" t="n">
        <x:v>0</x:v>
      </x:c>
      <x:c r="E8" s="107" t="n">
        <x:v>0</x:v>
      </x:c>
      <x:c r="F8" s="107" t="n">
        <x:v>0</x:v>
      </x:c>
      <x:c r="G8" s="107" t="n">
        <x:v>0</x:v>
      </x:c>
      <x:c r="H8" s="107" t="n">
        <x:v>0</x:v>
      </x:c>
      <x:c r="I8" s="107" t="n">
        <x:v>0</x:v>
      </x:c>
      <x:c r="J8" s="107" t="n">
        <x:v>0</x:v>
      </x:c>
      <x:c r="K8" s="107" t="n">
        <x:v>0</x:v>
      </x:c>
      <x:c r="L8" s="107" t="n">
        <x:v>0</x:v>
      </x:c>
      <x:c r="M8" s="107" t="n">
        <x:v>0</x:v>
      </x:c>
      <x:c r="N8" s="107" t="n">
        <x:v>0</x:v>
      </x:c>
      <x:c r="O8" s="107" t="n">
        <x:v>0</x:v>
      </x:c>
      <x:c r="P8" s="107" t="n">
        <x:v>0</x:v>
      </x:c>
      <x:c r="Q8" s="107" t="n">
        <x:v>0</x:v>
      </x:c>
      <x:c r="R8" s="107" t="n">
        <x:v>0</x:v>
      </x:c>
      <x:c r="S8" s="107" t="n">
        <x:v>0</x:v>
      </x:c>
      <x:c r="T8" s="107" t="n">
        <x:v>0</x:v>
      </x:c>
      <x:c r="U8" s="107" t="n">
        <x:v>5500</x:v>
      </x:c>
      <x:c r="V8" s="107" t="n">
        <x:v>5500</x:v>
      </x:c>
      <x:c r="W8" s="107" t="n">
        <x:v>5500</x:v>
      </x:c>
      <x:c r="X8" s="107" t="n">
        <x:v>5500</x:v>
      </x:c>
      <x:c r="Y8" s="107" t="n">
        <x:v>5500</x:v>
      </x:c>
      <x:c r="Z8" s="107" t="n">
        <x:v>5500</x:v>
      </x:c>
      <x:c r="AA8" s="107" t="n">
        <x:v>5500</x:v>
      </x:c>
      <x:c r="AB8" s="107" t="n">
        <x:v>5500</x:v>
      </x:c>
      <x:c r="AC8" s="107" t="n">
        <x:v>5500</x:v>
      </x:c>
      <x:c r="AD8" s="107" t="n">
        <x:v>5500</x:v>
      </x:c>
      <x:c r="AE8" s="107" t="n">
        <x:v>5500</x:v>
      </x:c>
      <x:c r="AF8" s="107" t="n">
        <x:v>5500</x:v>
      </x:c>
      <x:c r="AG8" s="107" t="n">
        <x:v>5500</x:v>
      </x:c>
      <x:c r="AH8" s="107" t="n">
        <x:v>5500</x:v>
      </x:c>
      <x:c r="AI8" s="107" t="n">
        <x:v>5500</x:v>
      </x:c>
      <x:c r="AJ8" s="107" t="n">
        <x:v>5500</x:v>
      </x:c>
      <x:c r="AK8" s="107" t="n">
        <x:v>5500</x:v>
      </x:c>
    </x:row>
    <x:row r="9">
      <x:c r="A9" s="98" t="str">
        <x:v>Customer Success / Activation gross</x:v>
      </x:c>
      <x:c r="B9" s="107" t="n">
        <x:v>0</x:v>
      </x:c>
      <x:c r="C9" s="107" t="n">
        <x:v>0</x:v>
      </x:c>
      <x:c r="D9" s="107" t="n">
        <x:v>0</x:v>
      </x:c>
      <x:c r="E9" s="107" t="n">
        <x:v>0</x:v>
      </x:c>
      <x:c r="F9" s="107" t="n">
        <x:v>0</x:v>
      </x:c>
      <x:c r="G9" s="107" t="n">
        <x:v>0</x:v>
      </x:c>
      <x:c r="H9" s="107" t="n">
        <x:v>0</x:v>
      </x:c>
      <x:c r="I9" s="107" t="n">
        <x:v>0</x:v>
      </x:c>
      <x:c r="J9" s="107" t="n">
        <x:v>0</x:v>
      </x:c>
      <x:c r="K9" s="107" t="n">
        <x:v>0</x:v>
      </x:c>
      <x:c r="L9" s="107" t="n">
        <x:v>0</x:v>
      </x:c>
      <x:c r="M9" s="107" t="n">
        <x:v>0</x:v>
      </x:c>
      <x:c r="N9" s="107" t="n">
        <x:v>0</x:v>
      </x:c>
      <x:c r="O9" s="107" t="n">
        <x:v>0</x:v>
      </x:c>
      <x:c r="P9" s="107" t="n">
        <x:v>0</x:v>
      </x:c>
      <x:c r="Q9" s="107" t="n">
        <x:v>0</x:v>
      </x:c>
      <x:c r="R9" s="107" t="n">
        <x:v>0</x:v>
      </x:c>
      <x:c r="S9" s="107" t="n">
        <x:v>0</x:v>
      </x:c>
      <x:c r="T9" s="107" t="n">
        <x:v>0</x:v>
      </x:c>
      <x:c r="U9" s="107" t="n">
        <x:v>0</x:v>
      </x:c>
      <x:c r="V9" s="107" t="n">
        <x:v>0</x:v>
      </x:c>
      <x:c r="W9" s="107" t="n">
        <x:v>0</x:v>
      </x:c>
      <x:c r="X9" s="107" t="n">
        <x:v>0</x:v>
      </x:c>
      <x:c r="Y9" s="107" t="n">
        <x:v>0</x:v>
      </x:c>
      <x:c r="Z9" s="107" t="n">
        <x:v>0</x:v>
      </x:c>
      <x:c r="AA9" s="107" t="n">
        <x:v>0</x:v>
      </x:c>
      <x:c r="AB9" s="107" t="n">
        <x:v>0</x:v>
      </x:c>
      <x:c r="AC9" s="107" t="n">
        <x:v>4500</x:v>
      </x:c>
      <x:c r="AD9" s="107" t="n">
        <x:v>4500</x:v>
      </x:c>
      <x:c r="AE9" s="107" t="n">
        <x:v>4500</x:v>
      </x:c>
      <x:c r="AF9" s="107" t="n">
        <x:v>4500</x:v>
      </x:c>
      <x:c r="AG9" s="107" t="n">
        <x:v>4500</x:v>
      </x:c>
      <x:c r="AH9" s="107" t="n">
        <x:v>4500</x:v>
      </x:c>
      <x:c r="AI9" s="107" t="n">
        <x:v>4500</x:v>
      </x:c>
      <x:c r="AJ9" s="107" t="n">
        <x:v>4500</x:v>
      </x:c>
      <x:c r="AK9" s="107" t="n">
        <x:v>4500</x:v>
      </x:c>
    </x:row>
    <x:row r="10">
      <x:c r="A10" s="98" t="str">
        <x:v>Sales gross</x:v>
      </x:c>
      <x:c r="B10" s="107" t="n">
        <x:v>0</x:v>
      </x:c>
      <x:c r="C10" s="107" t="n">
        <x:v>0</x:v>
      </x:c>
      <x:c r="D10" s="107" t="n">
        <x:v>0</x:v>
      </x:c>
      <x:c r="E10" s="107" t="n">
        <x:v>0</x:v>
      </x:c>
      <x:c r="F10" s="107" t="n">
        <x:v>0</x:v>
      </x:c>
      <x:c r="G10" s="107" t="n">
        <x:v>0</x:v>
      </x:c>
      <x:c r="H10" s="107" t="n">
        <x:v>0</x:v>
      </x:c>
      <x:c r="I10" s="107" t="n">
        <x:v>0</x:v>
      </x:c>
      <x:c r="J10" s="107" t="n">
        <x:v>0</x:v>
      </x:c>
      <x:c r="K10" s="107" t="n">
        <x:v>0</x:v>
      </x:c>
      <x:c r="L10" s="107" t="n">
        <x:v>0</x:v>
      </x:c>
      <x:c r="M10" s="107" t="n">
        <x:v>0</x:v>
      </x:c>
      <x:c r="N10" s="107" t="n">
        <x:v>0</x:v>
      </x:c>
      <x:c r="O10" s="107" t="n">
        <x:v>0</x:v>
      </x:c>
      <x:c r="P10" s="107" t="n">
        <x:v>0</x:v>
      </x:c>
      <x:c r="Q10" s="107" t="n">
        <x:v>0</x:v>
      </x:c>
      <x:c r="R10" s="107" t="n">
        <x:v>0</x:v>
      </x:c>
      <x:c r="S10" s="107" t="n">
        <x:v>0</x:v>
      </x:c>
      <x:c r="T10" s="107" t="n">
        <x:v>0</x:v>
      </x:c>
      <x:c r="U10" s="107" t="n">
        <x:v>0</x:v>
      </x:c>
      <x:c r="V10" s="107" t="n">
        <x:v>0</x:v>
      </x:c>
      <x:c r="W10" s="107" t="n">
        <x:v>0</x:v>
      </x:c>
      <x:c r="X10" s="107" t="n">
        <x:v>0</x:v>
      </x:c>
      <x:c r="Y10" s="107" t="n">
        <x:v>0</x:v>
      </x:c>
      <x:c r="Z10" s="107" t="n">
        <x:v>0</x:v>
      </x:c>
      <x:c r="AA10" s="107" t="n">
        <x:v>0</x:v>
      </x:c>
      <x:c r="AB10" s="107" t="n">
        <x:v>0</x:v>
      </x:c>
      <x:c r="AC10" s="107" t="n">
        <x:v>0</x:v>
      </x:c>
      <x:c r="AD10" s="107" t="n">
        <x:v>0</x:v>
      </x:c>
      <x:c r="AE10" s="107" t="n">
        <x:v>0</x:v>
      </x:c>
      <x:c r="AF10" s="107" t="n">
        <x:v>5000</x:v>
      </x:c>
      <x:c r="AG10" s="107" t="n">
        <x:v>5000</x:v>
      </x:c>
      <x:c r="AH10" s="107" t="n">
        <x:v>5000</x:v>
      </x:c>
      <x:c r="AI10" s="107" t="n">
        <x:v>5000</x:v>
      </x:c>
      <x:c r="AJ10" s="107" t="n">
        <x:v>5000</x:v>
      </x:c>
      <x:c r="AK10" s="107" t="n">
        <x:v>5000</x:v>
      </x:c>
    </x:row>
    <x:row r="11">
      <x:c r="A11" s="98"/>
      <x:c r="B11" s="108"/>
      <x:c r="C11" s="108"/>
      <x:c r="D11" s="108"/>
      <x:c r="E11" s="108"/>
      <x:c r="F11" s="108"/>
      <x:c r="G11" s="108"/>
      <x:c r="H11" s="108"/>
      <x:c r="I11" s="108"/>
      <x:c r="J11" s="108"/>
      <x:c r="K11" s="108"/>
      <x:c r="L11" s="108"/>
      <x:c r="M11" s="108"/>
      <x:c r="N11" s="108"/>
      <x:c r="O11" s="108"/>
      <x:c r="P11" s="108"/>
      <x:c r="Q11" s="108"/>
      <x:c r="R11" s="108"/>
      <x:c r="S11" s="108"/>
      <x:c r="T11" s="108"/>
      <x:c r="U11" s="108"/>
      <x:c r="V11" s="108"/>
      <x:c r="W11" s="108"/>
      <x:c r="X11" s="108"/>
      <x:c r="Y11" s="108"/>
      <x:c r="Z11" s="108"/>
      <x:c r="AA11" s="108"/>
      <x:c r="AB11" s="108"/>
      <x:c r="AC11" s="108"/>
      <x:c r="AD11" s="108"/>
      <x:c r="AE11" s="108"/>
      <x:c r="AF11" s="108"/>
      <x:c r="AG11" s="108"/>
      <x:c r="AH11" s="108"/>
      <x:c r="AI11" s="108"/>
      <x:c r="AJ11" s="108"/>
      <x:c r="AK11" s="108"/>
    </x:row>
    <x:row r="12" ht="22" customHeight="1">
      <x:c r="A12" s="113" t="str">
        <x:v>Employer cost including 20% on-cost</x:v>
      </x:c>
      <x:c r="B12" s="123"/>
      <x:c r="C12" s="123"/>
      <x:c r="D12" s="123"/>
      <x:c r="E12" s="123"/>
      <x:c r="F12" s="123"/>
      <x:c r="G12" s="123"/>
      <x:c r="H12" s="123"/>
      <x:c r="I12" s="123"/>
      <x:c r="J12" s="123"/>
      <x:c r="K12" s="123"/>
      <x:c r="L12" s="123"/>
      <x:c r="M12" s="123"/>
      <x:c r="N12" s="123"/>
      <x:c r="O12" s="123"/>
      <x:c r="P12" s="123"/>
      <x:c r="Q12" s="123"/>
      <x:c r="R12" s="123"/>
      <x:c r="S12" s="123"/>
      <x:c r="T12" s="123"/>
      <x:c r="U12" s="123"/>
      <x:c r="V12" s="123"/>
      <x:c r="W12" s="123"/>
      <x:c r="X12" s="123"/>
      <x:c r="Y12" s="123"/>
      <x:c r="Z12" s="123"/>
      <x:c r="AA12" s="123"/>
      <x:c r="AB12" s="123"/>
      <x:c r="AC12" s="123"/>
      <x:c r="AD12" s="123"/>
      <x:c r="AE12" s="123"/>
      <x:c r="AF12" s="123"/>
      <x:c r="AG12" s="123"/>
      <x:c r="AH12" s="123"/>
      <x:c r="AI12" s="123"/>
      <x:c r="AJ12" s="123"/>
      <x:c r="AK12" s="123"/>
    </x:row>
    <x:row r="13">
      <x:c r="A13" s="98" t="str">
        <x:v>CEO employer cost</x:v>
      </x:c>
      <x:c r="B13" s="108" t="n">
        <x:f>B5*(1+'Assumptions'!$B$22)</x:f>
        <x:v>0</x:v>
      </x:c>
      <x:c r="C13" s="108" t="n">
        <x:f>C5*(1+'Assumptions'!$B$22)</x:f>
        <x:v>0</x:v>
      </x:c>
      <x:c r="D13" s="108" t="n">
        <x:f>D5*(1+'Assumptions'!$B$22)</x:f>
        <x:v>0</x:v>
      </x:c>
      <x:c r="E13" s="108" t="n">
        <x:f>E5*(1+'Assumptions'!$B$22)</x:f>
        <x:v>0</x:v>
      </x:c>
      <x:c r="F13" s="108" t="n">
        <x:f>F5*(1+'Assumptions'!$B$22)</x:f>
        <x:v>0</x:v>
      </x:c>
      <x:c r="G13" s="108" t="n">
        <x:f>G5*(1+'Assumptions'!$B$22)</x:f>
        <x:v>0</x:v>
      </x:c>
      <x:c r="H13" s="108" t="n">
        <x:f>H5*(1+'Assumptions'!$B$22)</x:f>
        <x:v>0</x:v>
      </x:c>
      <x:c r="I13" s="108" t="n">
        <x:f>I5*(1+'Assumptions'!$B$22)</x:f>
        <x:v>0</x:v>
      </x:c>
      <x:c r="J13" s="108" t="n">
        <x:f>J5*(1+'Assumptions'!$B$22)</x:f>
        <x:v>0</x:v>
      </x:c>
      <x:c r="K13" s="108" t="n">
        <x:f>K5*(1+'Assumptions'!$B$22)</x:f>
        <x:v>0</x:v>
      </x:c>
      <x:c r="L13" s="108" t="n">
        <x:f>L5*(1+'Assumptions'!$B$22)</x:f>
        <x:v>0</x:v>
      </x:c>
      <x:c r="M13" s="108" t="n">
        <x:f>M5*(1+'Assumptions'!$B$22)</x:f>
        <x:v>0</x:v>
      </x:c>
      <x:c r="N13" s="108" t="n">
        <x:f>N5*(1+'Assumptions'!$B$22)</x:f>
        <x:v>4800</x:v>
      </x:c>
      <x:c r="O13" s="108" t="n">
        <x:f>O5*(1+'Assumptions'!$B$22)</x:f>
        <x:v>4800</x:v>
      </x:c>
      <x:c r="P13" s="108" t="n">
        <x:f>P5*(1+'Assumptions'!$B$22)</x:f>
        <x:v>4800</x:v>
      </x:c>
      <x:c r="Q13" s="108" t="n">
        <x:f>Q5*(1+'Assumptions'!$B$22)</x:f>
        <x:v>4800</x:v>
      </x:c>
      <x:c r="R13" s="108" t="n">
        <x:f>R5*(1+'Assumptions'!$B$22)</x:f>
        <x:v>4800</x:v>
      </x:c>
      <x:c r="S13" s="108" t="n">
        <x:f>S5*(1+'Assumptions'!$B$22)</x:f>
        <x:v>4800</x:v>
      </x:c>
      <x:c r="T13" s="108" t="n">
        <x:f>T5*(1+'Assumptions'!$B$22)</x:f>
        <x:v>4800</x:v>
      </x:c>
      <x:c r="U13" s="108" t="n">
        <x:f>U5*(1+'Assumptions'!$B$22)</x:f>
        <x:v>4800</x:v>
      </x:c>
      <x:c r="V13" s="108" t="n">
        <x:f>V5*(1+'Assumptions'!$B$22)</x:f>
        <x:v>4800</x:v>
      </x:c>
      <x:c r="W13" s="108" t="n">
        <x:f>W5*(1+'Assumptions'!$B$22)</x:f>
        <x:v>4800</x:v>
      </x:c>
      <x:c r="X13" s="108" t="n">
        <x:f>X5*(1+'Assumptions'!$B$22)</x:f>
        <x:v>4800</x:v>
      </x:c>
      <x:c r="Y13" s="108" t="n">
        <x:f>Y5*(1+'Assumptions'!$B$22)</x:f>
        <x:v>4800</x:v>
      </x:c>
      <x:c r="Z13" s="108" t="n">
        <x:f>Z5*(1+'Assumptions'!$B$22)</x:f>
        <x:v>5400</x:v>
      </x:c>
      <x:c r="AA13" s="108" t="n">
        <x:f>AA5*(1+'Assumptions'!$B$22)</x:f>
        <x:v>5400</x:v>
      </x:c>
      <x:c r="AB13" s="108" t="n">
        <x:f>AB5*(1+'Assumptions'!$B$22)</x:f>
        <x:v>5400</x:v>
      </x:c>
      <x:c r="AC13" s="108" t="n">
        <x:f>AC5*(1+'Assumptions'!$B$22)</x:f>
        <x:v>5400</x:v>
      </x:c>
      <x:c r="AD13" s="108" t="n">
        <x:f>AD5*(1+'Assumptions'!$B$22)</x:f>
        <x:v>5400</x:v>
      </x:c>
      <x:c r="AE13" s="108" t="n">
        <x:f>AE5*(1+'Assumptions'!$B$22)</x:f>
        <x:v>5400</x:v>
      </x:c>
      <x:c r="AF13" s="108" t="n">
        <x:f>AF5*(1+'Assumptions'!$B$22)</x:f>
        <x:v>5400</x:v>
      </x:c>
      <x:c r="AG13" s="108" t="n">
        <x:f>AG5*(1+'Assumptions'!$B$22)</x:f>
        <x:v>5400</x:v>
      </x:c>
      <x:c r="AH13" s="108" t="n">
        <x:f>AH5*(1+'Assumptions'!$B$22)</x:f>
        <x:v>5400</x:v>
      </x:c>
      <x:c r="AI13" s="108" t="n">
        <x:f>AI5*(1+'Assumptions'!$B$22)</x:f>
        <x:v>5400</x:v>
      </x:c>
      <x:c r="AJ13" s="108" t="n">
        <x:f>AJ5*(1+'Assumptions'!$B$22)</x:f>
        <x:v>5400</x:v>
      </x:c>
      <x:c r="AK13" s="108" t="n">
        <x:f>AK5*(1+'Assumptions'!$B$22)</x:f>
        <x:v>5400</x:v>
      </x:c>
    </x:row>
    <x:row r="14">
      <x:c r="A14" s="98" t="str">
        <x:v>CTO employer cost</x:v>
      </x:c>
      <x:c r="B14" s="108" t="n">
        <x:f>B6*(1+'Assumptions'!$B$22)</x:f>
        <x:v>0</x:v>
      </x:c>
      <x:c r="C14" s="108" t="n">
        <x:f>C6*(1+'Assumptions'!$B$22)</x:f>
        <x:v>0</x:v>
      </x:c>
      <x:c r="D14" s="108" t="n">
        <x:f>D6*(1+'Assumptions'!$B$22)</x:f>
        <x:v>0</x:v>
      </x:c>
      <x:c r="E14" s="108" t="n">
        <x:f>E6*(1+'Assumptions'!$B$22)</x:f>
        <x:v>0</x:v>
      </x:c>
      <x:c r="F14" s="108" t="n">
        <x:f>F6*(1+'Assumptions'!$B$22)</x:f>
        <x:v>0</x:v>
      </x:c>
      <x:c r="G14" s="108" t="n">
        <x:f>G6*(1+'Assumptions'!$B$22)</x:f>
        <x:v>0</x:v>
      </x:c>
      <x:c r="H14" s="108" t="n">
        <x:f>H6*(1+'Assumptions'!$B$22)</x:f>
        <x:v>0</x:v>
      </x:c>
      <x:c r="I14" s="108" t="n">
        <x:f>I6*(1+'Assumptions'!$B$22)</x:f>
        <x:v>0</x:v>
      </x:c>
      <x:c r="J14" s="108" t="n">
        <x:f>J6*(1+'Assumptions'!$B$22)</x:f>
        <x:v>0</x:v>
      </x:c>
      <x:c r="K14" s="108" t="n">
        <x:f>K6*(1+'Assumptions'!$B$22)</x:f>
        <x:v>0</x:v>
      </x:c>
      <x:c r="L14" s="108" t="n">
        <x:f>L6*(1+'Assumptions'!$B$22)</x:f>
        <x:v>0</x:v>
      </x:c>
      <x:c r="M14" s="108" t="n">
        <x:f>M6*(1+'Assumptions'!$B$22)</x:f>
        <x:v>0</x:v>
      </x:c>
      <x:c r="N14" s="108" t="n">
        <x:f>N6*(1+'Assumptions'!$B$22)</x:f>
        <x:v>6000</x:v>
      </x:c>
      <x:c r="O14" s="108" t="n">
        <x:f>O6*(1+'Assumptions'!$B$22)</x:f>
        <x:v>6000</x:v>
      </x:c>
      <x:c r="P14" s="108" t="n">
        <x:f>P6*(1+'Assumptions'!$B$22)</x:f>
        <x:v>6000</x:v>
      </x:c>
      <x:c r="Q14" s="108" t="n">
        <x:f>Q6*(1+'Assumptions'!$B$22)</x:f>
        <x:v>6000</x:v>
      </x:c>
      <x:c r="R14" s="108" t="n">
        <x:f>R6*(1+'Assumptions'!$B$22)</x:f>
        <x:v>6000</x:v>
      </x:c>
      <x:c r="S14" s="108" t="n">
        <x:f>S6*(1+'Assumptions'!$B$22)</x:f>
        <x:v>6000</x:v>
      </x:c>
      <x:c r="T14" s="108" t="n">
        <x:f>T6*(1+'Assumptions'!$B$22)</x:f>
        <x:v>6000</x:v>
      </x:c>
      <x:c r="U14" s="108" t="n">
        <x:f>U6*(1+'Assumptions'!$B$22)</x:f>
        <x:v>6000</x:v>
      </x:c>
      <x:c r="V14" s="108" t="n">
        <x:f>V6*(1+'Assumptions'!$B$22)</x:f>
        <x:v>6000</x:v>
      </x:c>
      <x:c r="W14" s="108" t="n">
        <x:f>W6*(1+'Assumptions'!$B$22)</x:f>
        <x:v>6000</x:v>
      </x:c>
      <x:c r="X14" s="108" t="n">
        <x:f>X6*(1+'Assumptions'!$B$22)</x:f>
        <x:v>6000</x:v>
      </x:c>
      <x:c r="Y14" s="108" t="n">
        <x:f>Y6*(1+'Assumptions'!$B$22)</x:f>
        <x:v>6000</x:v>
      </x:c>
      <x:c r="Z14" s="108" t="n">
        <x:f>Z6*(1+'Assumptions'!$B$22)</x:f>
        <x:v>6600</x:v>
      </x:c>
      <x:c r="AA14" s="108" t="n">
        <x:f>AA6*(1+'Assumptions'!$B$22)</x:f>
        <x:v>6600</x:v>
      </x:c>
      <x:c r="AB14" s="108" t="n">
        <x:f>AB6*(1+'Assumptions'!$B$22)</x:f>
        <x:v>6600</x:v>
      </x:c>
      <x:c r="AC14" s="108" t="n">
        <x:f>AC6*(1+'Assumptions'!$B$22)</x:f>
        <x:v>6600</x:v>
      </x:c>
      <x:c r="AD14" s="108" t="n">
        <x:f>AD6*(1+'Assumptions'!$B$22)</x:f>
        <x:v>6600</x:v>
      </x:c>
      <x:c r="AE14" s="108" t="n">
        <x:f>AE6*(1+'Assumptions'!$B$22)</x:f>
        <x:v>6600</x:v>
      </x:c>
      <x:c r="AF14" s="108" t="n">
        <x:f>AF6*(1+'Assumptions'!$B$22)</x:f>
        <x:v>6600</x:v>
      </x:c>
      <x:c r="AG14" s="108" t="n">
        <x:f>AG6*(1+'Assumptions'!$B$22)</x:f>
        <x:v>6600</x:v>
      </x:c>
      <x:c r="AH14" s="108" t="n">
        <x:f>AH6*(1+'Assumptions'!$B$22)</x:f>
        <x:v>6600</x:v>
      </x:c>
      <x:c r="AI14" s="108" t="n">
        <x:f>AI6*(1+'Assumptions'!$B$22)</x:f>
        <x:v>6600</x:v>
      </x:c>
      <x:c r="AJ14" s="108" t="n">
        <x:f>AJ6*(1+'Assumptions'!$B$22)</x:f>
        <x:v>6600</x:v>
      </x:c>
      <x:c r="AK14" s="108" t="n">
        <x:f>AK6*(1+'Assumptions'!$B$22)</x:f>
        <x:v>6600</x:v>
      </x:c>
    </x:row>
    <x:row r="15">
      <x:c r="A15" s="98" t="str">
        <x:v>CPO employer cost</x:v>
      </x:c>
      <x:c r="B15" s="108" t="n">
        <x:f>B7*(1+'Assumptions'!$B$22)</x:f>
        <x:v>0</x:v>
      </x:c>
      <x:c r="C15" s="108" t="n">
        <x:f>C7*(1+'Assumptions'!$B$22)</x:f>
        <x:v>0</x:v>
      </x:c>
      <x:c r="D15" s="108" t="n">
        <x:f>D7*(1+'Assumptions'!$B$22)</x:f>
        <x:v>0</x:v>
      </x:c>
      <x:c r="E15" s="108" t="n">
        <x:f>E7*(1+'Assumptions'!$B$22)</x:f>
        <x:v>0</x:v>
      </x:c>
      <x:c r="F15" s="108" t="n">
        <x:f>F7*(1+'Assumptions'!$B$22)</x:f>
        <x:v>0</x:v>
      </x:c>
      <x:c r="G15" s="108" t="n">
        <x:f>G7*(1+'Assumptions'!$B$22)</x:f>
        <x:v>0</x:v>
      </x:c>
      <x:c r="H15" s="108" t="n">
        <x:f>H7*(1+'Assumptions'!$B$22)</x:f>
        <x:v>0</x:v>
      </x:c>
      <x:c r="I15" s="108" t="n">
        <x:f>I7*(1+'Assumptions'!$B$22)</x:f>
        <x:v>0</x:v>
      </x:c>
      <x:c r="J15" s="108" t="n">
        <x:f>J7*(1+'Assumptions'!$B$22)</x:f>
        <x:v>0</x:v>
      </x:c>
      <x:c r="K15" s="108" t="n">
        <x:f>K7*(1+'Assumptions'!$B$22)</x:f>
        <x:v>0</x:v>
      </x:c>
      <x:c r="L15" s="108" t="n">
        <x:f>L7*(1+'Assumptions'!$B$22)</x:f>
        <x:v>0</x:v>
      </x:c>
      <x:c r="M15" s="108" t="n">
        <x:f>M7*(1+'Assumptions'!$B$22)</x:f>
        <x:v>0</x:v>
      </x:c>
      <x:c r="N15" s="108" t="n">
        <x:f>N7*(1+'Assumptions'!$B$22)</x:f>
        <x:v>3000</x:v>
      </x:c>
      <x:c r="O15" s="108" t="n">
        <x:f>O7*(1+'Assumptions'!$B$22)</x:f>
        <x:v>3000</x:v>
      </x:c>
      <x:c r="P15" s="108" t="n">
        <x:f>P7*(1+'Assumptions'!$B$22)</x:f>
        <x:v>3000</x:v>
      </x:c>
      <x:c r="Q15" s="108" t="n">
        <x:f>Q7*(1+'Assumptions'!$B$22)</x:f>
        <x:v>3000</x:v>
      </x:c>
      <x:c r="R15" s="108" t="n">
        <x:f>R7*(1+'Assumptions'!$B$22)</x:f>
        <x:v>3000</x:v>
      </x:c>
      <x:c r="S15" s="108" t="n">
        <x:f>S7*(1+'Assumptions'!$B$22)</x:f>
        <x:v>3000</x:v>
      </x:c>
      <x:c r="T15" s="108" t="n">
        <x:f>T7*(1+'Assumptions'!$B$22)</x:f>
        <x:v>3000</x:v>
      </x:c>
      <x:c r="U15" s="108" t="n">
        <x:f>U7*(1+'Assumptions'!$B$22)</x:f>
        <x:v>3000</x:v>
      </x:c>
      <x:c r="V15" s="108" t="n">
        <x:f>V7*(1+'Assumptions'!$B$22)</x:f>
        <x:v>3000</x:v>
      </x:c>
      <x:c r="W15" s="108" t="n">
        <x:f>W7*(1+'Assumptions'!$B$22)</x:f>
        <x:v>3000</x:v>
      </x:c>
      <x:c r="X15" s="108" t="n">
        <x:f>X7*(1+'Assumptions'!$B$22)</x:f>
        <x:v>3000</x:v>
      </x:c>
      <x:c r="Y15" s="108" t="n">
        <x:f>Y7*(1+'Assumptions'!$B$22)</x:f>
        <x:v>3000</x:v>
      </x:c>
      <x:c r="Z15" s="108" t="n">
        <x:f>Z7*(1+'Assumptions'!$B$22)</x:f>
        <x:v>3600</x:v>
      </x:c>
      <x:c r="AA15" s="108" t="n">
        <x:f>AA7*(1+'Assumptions'!$B$22)</x:f>
        <x:v>3600</x:v>
      </x:c>
      <x:c r="AB15" s="108" t="n">
        <x:f>AB7*(1+'Assumptions'!$B$22)</x:f>
        <x:v>3600</x:v>
      </x:c>
      <x:c r="AC15" s="108" t="n">
        <x:f>AC7*(1+'Assumptions'!$B$22)</x:f>
        <x:v>3600</x:v>
      </x:c>
      <x:c r="AD15" s="108" t="n">
        <x:f>AD7*(1+'Assumptions'!$B$22)</x:f>
        <x:v>3600</x:v>
      </x:c>
      <x:c r="AE15" s="108" t="n">
        <x:f>AE7*(1+'Assumptions'!$B$22)</x:f>
        <x:v>3600</x:v>
      </x:c>
      <x:c r="AF15" s="108" t="n">
        <x:f>AF7*(1+'Assumptions'!$B$22)</x:f>
        <x:v>3600</x:v>
      </x:c>
      <x:c r="AG15" s="108" t="n">
        <x:f>AG7*(1+'Assumptions'!$B$22)</x:f>
        <x:v>3600</x:v>
      </x:c>
      <x:c r="AH15" s="108" t="n">
        <x:f>AH7*(1+'Assumptions'!$B$22)</x:f>
        <x:v>3600</x:v>
      </x:c>
      <x:c r="AI15" s="108" t="n">
        <x:f>AI7*(1+'Assumptions'!$B$22)</x:f>
        <x:v>3600</x:v>
      </x:c>
      <x:c r="AJ15" s="108" t="n">
        <x:f>AJ7*(1+'Assumptions'!$B$22)</x:f>
        <x:v>3600</x:v>
      </x:c>
      <x:c r="AK15" s="108" t="n">
        <x:f>AK7*(1+'Assumptions'!$B$22)</x:f>
        <x:v>3600</x:v>
      </x:c>
    </x:row>
    <x:row r="16">
      <x:c r="A16" s="98" t="str">
        <x:v>Founding Engineer employer cost</x:v>
      </x:c>
      <x:c r="B16" s="108" t="n">
        <x:f>B8*(1+'Assumptions'!$B$22)</x:f>
        <x:v>0</x:v>
      </x:c>
      <x:c r="C16" s="108" t="n">
        <x:f>C8*(1+'Assumptions'!$B$22)</x:f>
        <x:v>0</x:v>
      </x:c>
      <x:c r="D16" s="108" t="n">
        <x:f>D8*(1+'Assumptions'!$B$22)</x:f>
        <x:v>0</x:v>
      </x:c>
      <x:c r="E16" s="108" t="n">
        <x:f>E8*(1+'Assumptions'!$B$22)</x:f>
        <x:v>0</x:v>
      </x:c>
      <x:c r="F16" s="108" t="n">
        <x:f>F8*(1+'Assumptions'!$B$22)</x:f>
        <x:v>0</x:v>
      </x:c>
      <x:c r="G16" s="108" t="n">
        <x:f>G8*(1+'Assumptions'!$B$22)</x:f>
        <x:v>0</x:v>
      </x:c>
      <x:c r="H16" s="108" t="n">
        <x:f>H8*(1+'Assumptions'!$B$22)</x:f>
        <x:v>0</x:v>
      </x:c>
      <x:c r="I16" s="108" t="n">
        <x:f>I8*(1+'Assumptions'!$B$22)</x:f>
        <x:v>0</x:v>
      </x:c>
      <x:c r="J16" s="108" t="n">
        <x:f>J8*(1+'Assumptions'!$B$22)</x:f>
        <x:v>0</x:v>
      </x:c>
      <x:c r="K16" s="108" t="n">
        <x:f>K8*(1+'Assumptions'!$B$22)</x:f>
        <x:v>0</x:v>
      </x:c>
      <x:c r="L16" s="108" t="n">
        <x:f>L8*(1+'Assumptions'!$B$22)</x:f>
        <x:v>0</x:v>
      </x:c>
      <x:c r="M16" s="108" t="n">
        <x:f>M8*(1+'Assumptions'!$B$22)</x:f>
        <x:v>0</x:v>
      </x:c>
      <x:c r="N16" s="108" t="n">
        <x:f>N8*(1+'Assumptions'!$B$22)</x:f>
        <x:v>0</x:v>
      </x:c>
      <x:c r="O16" s="108" t="n">
        <x:f>O8*(1+'Assumptions'!$B$22)</x:f>
        <x:v>0</x:v>
      </x:c>
      <x:c r="P16" s="108" t="n">
        <x:f>P8*(1+'Assumptions'!$B$22)</x:f>
        <x:v>0</x:v>
      </x:c>
      <x:c r="Q16" s="108" t="n">
        <x:f>Q8*(1+'Assumptions'!$B$22)</x:f>
        <x:v>0</x:v>
      </x:c>
      <x:c r="R16" s="108" t="n">
        <x:f>R8*(1+'Assumptions'!$B$22)</x:f>
        <x:v>0</x:v>
      </x:c>
      <x:c r="S16" s="108" t="n">
        <x:f>S8*(1+'Assumptions'!$B$22)</x:f>
        <x:v>0</x:v>
      </x:c>
      <x:c r="T16" s="108" t="n">
        <x:f>T8*(1+'Assumptions'!$B$22)</x:f>
        <x:v>0</x:v>
      </x:c>
      <x:c r="U16" s="108" t="n">
        <x:f>U8*(1+'Assumptions'!$B$22)</x:f>
        <x:v>6600</x:v>
      </x:c>
      <x:c r="V16" s="108" t="n">
        <x:f>V8*(1+'Assumptions'!$B$22)</x:f>
        <x:v>6600</x:v>
      </x:c>
      <x:c r="W16" s="108" t="n">
        <x:f>W8*(1+'Assumptions'!$B$22)</x:f>
        <x:v>6600</x:v>
      </x:c>
      <x:c r="X16" s="108" t="n">
        <x:f>X8*(1+'Assumptions'!$B$22)</x:f>
        <x:v>6600</x:v>
      </x:c>
      <x:c r="Y16" s="108" t="n">
        <x:f>Y8*(1+'Assumptions'!$B$22)</x:f>
        <x:v>6600</x:v>
      </x:c>
      <x:c r="Z16" s="108" t="n">
        <x:f>Z8*(1+'Assumptions'!$B$22)</x:f>
        <x:v>6600</x:v>
      </x:c>
      <x:c r="AA16" s="108" t="n">
        <x:f>AA8*(1+'Assumptions'!$B$22)</x:f>
        <x:v>6600</x:v>
      </x:c>
      <x:c r="AB16" s="108" t="n">
        <x:f>AB8*(1+'Assumptions'!$B$22)</x:f>
        <x:v>6600</x:v>
      </x:c>
      <x:c r="AC16" s="108" t="n">
        <x:f>AC8*(1+'Assumptions'!$B$22)</x:f>
        <x:v>6600</x:v>
      </x:c>
      <x:c r="AD16" s="108" t="n">
        <x:f>AD8*(1+'Assumptions'!$B$22)</x:f>
        <x:v>6600</x:v>
      </x:c>
      <x:c r="AE16" s="108" t="n">
        <x:f>AE8*(1+'Assumptions'!$B$22)</x:f>
        <x:v>6600</x:v>
      </x:c>
      <x:c r="AF16" s="108" t="n">
        <x:f>AF8*(1+'Assumptions'!$B$22)</x:f>
        <x:v>6600</x:v>
      </x:c>
      <x:c r="AG16" s="108" t="n">
        <x:f>AG8*(1+'Assumptions'!$B$22)</x:f>
        <x:v>6600</x:v>
      </x:c>
      <x:c r="AH16" s="108" t="n">
        <x:f>AH8*(1+'Assumptions'!$B$22)</x:f>
        <x:v>6600</x:v>
      </x:c>
      <x:c r="AI16" s="108" t="n">
        <x:f>AI8*(1+'Assumptions'!$B$22)</x:f>
        <x:v>6600</x:v>
      </x:c>
      <x:c r="AJ16" s="108" t="n">
        <x:f>AJ8*(1+'Assumptions'!$B$22)</x:f>
        <x:v>6600</x:v>
      </x:c>
      <x:c r="AK16" s="108" t="n">
        <x:f>AK8*(1+'Assumptions'!$B$22)</x:f>
        <x:v>6600</x:v>
      </x:c>
    </x:row>
    <x:row r="17">
      <x:c r="A17" s="98" t="str">
        <x:v>Customer Success employer cost</x:v>
      </x:c>
      <x:c r="B17" s="108" t="n">
        <x:f>B9*(1+'Assumptions'!$B$22)</x:f>
        <x:v>0</x:v>
      </x:c>
      <x:c r="C17" s="108" t="n">
        <x:f>C9*(1+'Assumptions'!$B$22)</x:f>
        <x:v>0</x:v>
      </x:c>
      <x:c r="D17" s="108" t="n">
        <x:f>D9*(1+'Assumptions'!$B$22)</x:f>
        <x:v>0</x:v>
      </x:c>
      <x:c r="E17" s="108" t="n">
        <x:f>E9*(1+'Assumptions'!$B$22)</x:f>
        <x:v>0</x:v>
      </x:c>
      <x:c r="F17" s="108" t="n">
        <x:f>F9*(1+'Assumptions'!$B$22)</x:f>
        <x:v>0</x:v>
      </x:c>
      <x:c r="G17" s="108" t="n">
        <x:f>G9*(1+'Assumptions'!$B$22)</x:f>
        <x:v>0</x:v>
      </x:c>
      <x:c r="H17" s="108" t="n">
        <x:f>H9*(1+'Assumptions'!$B$22)</x:f>
        <x:v>0</x:v>
      </x:c>
      <x:c r="I17" s="108" t="n">
        <x:f>I9*(1+'Assumptions'!$B$22)</x:f>
        <x:v>0</x:v>
      </x:c>
      <x:c r="J17" s="108" t="n">
        <x:f>J9*(1+'Assumptions'!$B$22)</x:f>
        <x:v>0</x:v>
      </x:c>
      <x:c r="K17" s="108" t="n">
        <x:f>K9*(1+'Assumptions'!$B$22)</x:f>
        <x:v>0</x:v>
      </x:c>
      <x:c r="L17" s="108" t="n">
        <x:f>L9*(1+'Assumptions'!$B$22)</x:f>
        <x:v>0</x:v>
      </x:c>
      <x:c r="M17" s="108" t="n">
        <x:f>M9*(1+'Assumptions'!$B$22)</x:f>
        <x:v>0</x:v>
      </x:c>
      <x:c r="N17" s="108" t="n">
        <x:f>N9*(1+'Assumptions'!$B$22)</x:f>
        <x:v>0</x:v>
      </x:c>
      <x:c r="O17" s="108" t="n">
        <x:f>O9*(1+'Assumptions'!$B$22)</x:f>
        <x:v>0</x:v>
      </x:c>
      <x:c r="P17" s="108" t="n">
        <x:f>P9*(1+'Assumptions'!$B$22)</x:f>
        <x:v>0</x:v>
      </x:c>
      <x:c r="Q17" s="108" t="n">
        <x:f>Q9*(1+'Assumptions'!$B$22)</x:f>
        <x:v>0</x:v>
      </x:c>
      <x:c r="R17" s="108" t="n">
        <x:f>R9*(1+'Assumptions'!$B$22)</x:f>
        <x:v>0</x:v>
      </x:c>
      <x:c r="S17" s="108" t="n">
        <x:f>S9*(1+'Assumptions'!$B$22)</x:f>
        <x:v>0</x:v>
      </x:c>
      <x:c r="T17" s="108" t="n">
        <x:f>T9*(1+'Assumptions'!$B$22)</x:f>
        <x:v>0</x:v>
      </x:c>
      <x:c r="U17" s="108" t="n">
        <x:f>U9*(1+'Assumptions'!$B$22)</x:f>
        <x:v>0</x:v>
      </x:c>
      <x:c r="V17" s="108" t="n">
        <x:f>V9*(1+'Assumptions'!$B$22)</x:f>
        <x:v>0</x:v>
      </x:c>
      <x:c r="W17" s="108" t="n">
        <x:f>W9*(1+'Assumptions'!$B$22)</x:f>
        <x:v>0</x:v>
      </x:c>
      <x:c r="X17" s="108" t="n">
        <x:f>X9*(1+'Assumptions'!$B$22)</x:f>
        <x:v>0</x:v>
      </x:c>
      <x:c r="Y17" s="108" t="n">
        <x:f>Y9*(1+'Assumptions'!$B$22)</x:f>
        <x:v>0</x:v>
      </x:c>
      <x:c r="Z17" s="108" t="n">
        <x:f>Z9*(1+'Assumptions'!$B$22)</x:f>
        <x:v>0</x:v>
      </x:c>
      <x:c r="AA17" s="108" t="n">
        <x:f>AA9*(1+'Assumptions'!$B$22)</x:f>
        <x:v>0</x:v>
      </x:c>
      <x:c r="AB17" s="108" t="n">
        <x:f>AB9*(1+'Assumptions'!$B$22)</x:f>
        <x:v>0</x:v>
      </x:c>
      <x:c r="AC17" s="108" t="n">
        <x:f>AC9*(1+'Assumptions'!$B$22)</x:f>
        <x:v>5400</x:v>
      </x:c>
      <x:c r="AD17" s="108" t="n">
        <x:f>AD9*(1+'Assumptions'!$B$22)</x:f>
        <x:v>5400</x:v>
      </x:c>
      <x:c r="AE17" s="108" t="n">
        <x:f>AE9*(1+'Assumptions'!$B$22)</x:f>
        <x:v>5400</x:v>
      </x:c>
      <x:c r="AF17" s="108" t="n">
        <x:f>AF9*(1+'Assumptions'!$B$22)</x:f>
        <x:v>5400</x:v>
      </x:c>
      <x:c r="AG17" s="108" t="n">
        <x:f>AG9*(1+'Assumptions'!$B$22)</x:f>
        <x:v>5400</x:v>
      </x:c>
      <x:c r="AH17" s="108" t="n">
        <x:f>AH9*(1+'Assumptions'!$B$22)</x:f>
        <x:v>5400</x:v>
      </x:c>
      <x:c r="AI17" s="108" t="n">
        <x:f>AI9*(1+'Assumptions'!$B$22)</x:f>
        <x:v>5400</x:v>
      </x:c>
      <x:c r="AJ17" s="108" t="n">
        <x:f>AJ9*(1+'Assumptions'!$B$22)</x:f>
        <x:v>5400</x:v>
      </x:c>
      <x:c r="AK17" s="108" t="n">
        <x:f>AK9*(1+'Assumptions'!$B$22)</x:f>
        <x:v>5400</x:v>
      </x:c>
    </x:row>
    <x:row r="18">
      <x:c r="A18" s="98" t="str">
        <x:v>Sales employer cost</x:v>
      </x:c>
      <x:c r="B18" s="108" t="n">
        <x:f>B10*(1+'Assumptions'!$B$22)</x:f>
        <x:v>0</x:v>
      </x:c>
      <x:c r="C18" s="108" t="n">
        <x:f>C10*(1+'Assumptions'!$B$22)</x:f>
        <x:v>0</x:v>
      </x:c>
      <x:c r="D18" s="108" t="n">
        <x:f>D10*(1+'Assumptions'!$B$22)</x:f>
        <x:v>0</x:v>
      </x:c>
      <x:c r="E18" s="108" t="n">
        <x:f>E10*(1+'Assumptions'!$B$22)</x:f>
        <x:v>0</x:v>
      </x:c>
      <x:c r="F18" s="108" t="n">
        <x:f>F10*(1+'Assumptions'!$B$22)</x:f>
        <x:v>0</x:v>
      </x:c>
      <x:c r="G18" s="108" t="n">
        <x:f>G10*(1+'Assumptions'!$B$22)</x:f>
        <x:v>0</x:v>
      </x:c>
      <x:c r="H18" s="108" t="n">
        <x:f>H10*(1+'Assumptions'!$B$22)</x:f>
        <x:v>0</x:v>
      </x:c>
      <x:c r="I18" s="108" t="n">
        <x:f>I10*(1+'Assumptions'!$B$22)</x:f>
        <x:v>0</x:v>
      </x:c>
      <x:c r="J18" s="108" t="n">
        <x:f>J10*(1+'Assumptions'!$B$22)</x:f>
        <x:v>0</x:v>
      </x:c>
      <x:c r="K18" s="108" t="n">
        <x:f>K10*(1+'Assumptions'!$B$22)</x:f>
        <x:v>0</x:v>
      </x:c>
      <x:c r="L18" s="108" t="n">
        <x:f>L10*(1+'Assumptions'!$B$22)</x:f>
        <x:v>0</x:v>
      </x:c>
      <x:c r="M18" s="108" t="n">
        <x:f>M10*(1+'Assumptions'!$B$22)</x:f>
        <x:v>0</x:v>
      </x:c>
      <x:c r="N18" s="108" t="n">
        <x:f>N10*(1+'Assumptions'!$B$22)</x:f>
        <x:v>0</x:v>
      </x:c>
      <x:c r="O18" s="108" t="n">
        <x:f>O10*(1+'Assumptions'!$B$22)</x:f>
        <x:v>0</x:v>
      </x:c>
      <x:c r="P18" s="108" t="n">
        <x:f>P10*(1+'Assumptions'!$B$22)</x:f>
        <x:v>0</x:v>
      </x:c>
      <x:c r="Q18" s="108" t="n">
        <x:f>Q10*(1+'Assumptions'!$B$22)</x:f>
        <x:v>0</x:v>
      </x:c>
      <x:c r="R18" s="108" t="n">
        <x:f>R10*(1+'Assumptions'!$B$22)</x:f>
        <x:v>0</x:v>
      </x:c>
      <x:c r="S18" s="108" t="n">
        <x:f>S10*(1+'Assumptions'!$B$22)</x:f>
        <x:v>0</x:v>
      </x:c>
      <x:c r="T18" s="108" t="n">
        <x:f>T10*(1+'Assumptions'!$B$22)</x:f>
        <x:v>0</x:v>
      </x:c>
      <x:c r="U18" s="108" t="n">
        <x:f>U10*(1+'Assumptions'!$B$22)</x:f>
        <x:v>0</x:v>
      </x:c>
      <x:c r="V18" s="108" t="n">
        <x:f>V10*(1+'Assumptions'!$B$22)</x:f>
        <x:v>0</x:v>
      </x:c>
      <x:c r="W18" s="108" t="n">
        <x:f>W10*(1+'Assumptions'!$B$22)</x:f>
        <x:v>0</x:v>
      </x:c>
      <x:c r="X18" s="108" t="n">
        <x:f>X10*(1+'Assumptions'!$B$22)</x:f>
        <x:v>0</x:v>
      </x:c>
      <x:c r="Y18" s="108" t="n">
        <x:f>Y10*(1+'Assumptions'!$B$22)</x:f>
        <x:v>0</x:v>
      </x:c>
      <x:c r="Z18" s="108" t="n">
        <x:f>Z10*(1+'Assumptions'!$B$22)</x:f>
        <x:v>0</x:v>
      </x:c>
      <x:c r="AA18" s="108" t="n">
        <x:f>AA10*(1+'Assumptions'!$B$22)</x:f>
        <x:v>0</x:v>
      </x:c>
      <x:c r="AB18" s="108" t="n">
        <x:f>AB10*(1+'Assumptions'!$B$22)</x:f>
        <x:v>0</x:v>
      </x:c>
      <x:c r="AC18" s="108" t="n">
        <x:f>AC10*(1+'Assumptions'!$B$22)</x:f>
        <x:v>0</x:v>
      </x:c>
      <x:c r="AD18" s="108" t="n">
        <x:f>AD10*(1+'Assumptions'!$B$22)</x:f>
        <x:v>0</x:v>
      </x:c>
      <x:c r="AE18" s="108" t="n">
        <x:f>AE10*(1+'Assumptions'!$B$22)</x:f>
        <x:v>0</x:v>
      </x:c>
      <x:c r="AF18" s="108" t="n">
        <x:f>AF10*(1+'Assumptions'!$B$22)</x:f>
        <x:v>6000</x:v>
      </x:c>
      <x:c r="AG18" s="108" t="n">
        <x:f>AG10*(1+'Assumptions'!$B$22)</x:f>
        <x:v>6000</x:v>
      </x:c>
      <x:c r="AH18" s="108" t="n">
        <x:f>AH10*(1+'Assumptions'!$B$22)</x:f>
        <x:v>6000</x:v>
      </x:c>
      <x:c r="AI18" s="108" t="n">
        <x:f>AI10*(1+'Assumptions'!$B$22)</x:f>
        <x:v>6000</x:v>
      </x:c>
      <x:c r="AJ18" s="108" t="n">
        <x:f>AJ10*(1+'Assumptions'!$B$22)</x:f>
        <x:v>6000</x:v>
      </x:c>
      <x:c r="AK18" s="108" t="n">
        <x:f>AK10*(1+'Assumptions'!$B$22)</x:f>
        <x:v>6000</x:v>
      </x:c>
    </x:row>
    <x:row r="19">
      <x:c r="A19" s="124" t="str">
        <x:v>Total personnel cash cost</x:v>
      </x:c>
      <x:c r="B19" s="125" t="n">
        <x:f>SUM(B13:B18)</x:f>
        <x:v>0</x:v>
      </x:c>
      <x:c r="C19" s="125" t="n">
        <x:f>SUM(C13:C18)</x:f>
        <x:v>0</x:v>
      </x:c>
      <x:c r="D19" s="125" t="n">
        <x:f>SUM(D13:D18)</x:f>
        <x:v>0</x:v>
      </x:c>
      <x:c r="E19" s="125" t="n">
        <x:f>SUM(E13:E18)</x:f>
        <x:v>0</x:v>
      </x:c>
      <x:c r="F19" s="125" t="n">
        <x:f>SUM(F13:F18)</x:f>
        <x:v>0</x:v>
      </x:c>
      <x:c r="G19" s="125" t="n">
        <x:f>SUM(G13:G18)</x:f>
        <x:v>0</x:v>
      </x:c>
      <x:c r="H19" s="125" t="n">
        <x:f>SUM(H13:H18)</x:f>
        <x:v>0</x:v>
      </x:c>
      <x:c r="I19" s="125" t="n">
        <x:f>SUM(I13:I18)</x:f>
        <x:v>0</x:v>
      </x:c>
      <x:c r="J19" s="125" t="n">
        <x:f>SUM(J13:J18)</x:f>
        <x:v>0</x:v>
      </x:c>
      <x:c r="K19" s="125" t="n">
        <x:f>SUM(K13:K18)</x:f>
        <x:v>0</x:v>
      </x:c>
      <x:c r="L19" s="125" t="n">
        <x:f>SUM(L13:L18)</x:f>
        <x:v>0</x:v>
      </x:c>
      <x:c r="M19" s="125" t="n">
        <x:f>SUM(M13:M18)</x:f>
        <x:v>0</x:v>
      </x:c>
      <x:c r="N19" s="125" t="n">
        <x:f>SUM(N13:N18)</x:f>
        <x:v>13800</x:v>
      </x:c>
      <x:c r="O19" s="125" t="n">
        <x:f>SUM(O13:O18)</x:f>
        <x:v>13800</x:v>
      </x:c>
      <x:c r="P19" s="125" t="n">
        <x:f>SUM(P13:P18)</x:f>
        <x:v>13800</x:v>
      </x:c>
      <x:c r="Q19" s="125" t="n">
        <x:f>SUM(Q13:Q18)</x:f>
        <x:v>13800</x:v>
      </x:c>
      <x:c r="R19" s="125" t="n">
        <x:f>SUM(R13:R18)</x:f>
        <x:v>13800</x:v>
      </x:c>
      <x:c r="S19" s="125" t="n">
        <x:f>SUM(S13:S18)</x:f>
        <x:v>13800</x:v>
      </x:c>
      <x:c r="T19" s="125" t="n">
        <x:f>SUM(T13:T18)</x:f>
        <x:v>13800</x:v>
      </x:c>
      <x:c r="U19" s="125" t="n">
        <x:f>SUM(U13:U18)</x:f>
        <x:v>20400</x:v>
      </x:c>
      <x:c r="V19" s="125" t="n">
        <x:f>SUM(V13:V18)</x:f>
        <x:v>20400</x:v>
      </x:c>
      <x:c r="W19" s="125" t="n">
        <x:f>SUM(W13:W18)</x:f>
        <x:v>20400</x:v>
      </x:c>
      <x:c r="X19" s="125" t="n">
        <x:f>SUM(X13:X18)</x:f>
        <x:v>20400</x:v>
      </x:c>
      <x:c r="Y19" s="125" t="n">
        <x:f>SUM(Y13:Y18)</x:f>
        <x:v>20400</x:v>
      </x:c>
      <x:c r="Z19" s="125" t="n">
        <x:f>SUM(Z13:Z18)</x:f>
        <x:v>22200</x:v>
      </x:c>
      <x:c r="AA19" s="125" t="n">
        <x:f>SUM(AA13:AA18)</x:f>
        <x:v>22200</x:v>
      </x:c>
      <x:c r="AB19" s="125" t="n">
        <x:f>SUM(AB13:AB18)</x:f>
        <x:v>22200</x:v>
      </x:c>
      <x:c r="AC19" s="125" t="n">
        <x:f>SUM(AC13:AC18)</x:f>
        <x:v>27600</x:v>
      </x:c>
      <x:c r="AD19" s="125" t="n">
        <x:f>SUM(AD13:AD18)</x:f>
        <x:v>27600</x:v>
      </x:c>
      <x:c r="AE19" s="125" t="n">
        <x:f>SUM(AE13:AE18)</x:f>
        <x:v>27600</x:v>
      </x:c>
      <x:c r="AF19" s="125" t="n">
        <x:f>SUM(AF13:AF18)</x:f>
        <x:v>33600</x:v>
      </x:c>
      <x:c r="AG19" s="125" t="n">
        <x:f>SUM(AG13:AG18)</x:f>
        <x:v>33600</x:v>
      </x:c>
      <x:c r="AH19" s="125" t="n">
        <x:f>SUM(AH13:AH18)</x:f>
        <x:v>33600</x:v>
      </x:c>
      <x:c r="AI19" s="125" t="n">
        <x:f>SUM(AI13:AI18)</x:f>
        <x:v>33600</x:v>
      </x:c>
      <x:c r="AJ19" s="125" t="n">
        <x:f>SUM(AJ13:AJ18)</x:f>
        <x:v>33600</x:v>
      </x:c>
      <x:c r="AK19" s="125" t="n">
        <x:f>SUM(AK13:AK18)</x:f>
        <x:v>33600</x:v>
      </x:c>
    </x:row>
    <x:row r="20">
      <x:c r="A20" s="98"/>
      <x:c r="B20" s="108"/>
      <x:c r="C20" s="108"/>
      <x:c r="D20" s="108"/>
      <x:c r="E20" s="108"/>
      <x:c r="F20" s="108"/>
      <x:c r="G20" s="108"/>
      <x:c r="H20" s="108"/>
      <x:c r="I20" s="108"/>
      <x:c r="J20" s="108"/>
      <x:c r="K20" s="108"/>
      <x:c r="L20" s="108"/>
      <x:c r="M20" s="108"/>
      <x:c r="N20" s="108"/>
      <x:c r="O20" s="108"/>
      <x:c r="P20" s="108"/>
      <x:c r="Q20" s="108"/>
      <x:c r="R20" s="108"/>
      <x:c r="S20" s="108"/>
      <x:c r="T20" s="108"/>
      <x:c r="U20" s="108"/>
      <x:c r="V20" s="108"/>
      <x:c r="W20" s="108"/>
      <x:c r="X20" s="108"/>
      <x:c r="Y20" s="108"/>
      <x:c r="Z20" s="108"/>
      <x:c r="AA20" s="108"/>
      <x:c r="AB20" s="108"/>
      <x:c r="AC20" s="108"/>
      <x:c r="AD20" s="108"/>
      <x:c r="AE20" s="108"/>
      <x:c r="AF20" s="108"/>
      <x:c r="AG20" s="108"/>
      <x:c r="AH20" s="108"/>
      <x:c r="AI20" s="108"/>
      <x:c r="AJ20" s="108"/>
      <x:c r="AK20" s="108"/>
    </x:row>
    <x:row r="21">
      <x:c r="A21" s="98"/>
      <x:c r="B21" s="108"/>
      <x:c r="C21" s="108"/>
      <x:c r="D21" s="108"/>
      <x:c r="E21" s="108"/>
      <x:c r="F21" s="108"/>
      <x:c r="G21" s="108"/>
      <x:c r="H21" s="108"/>
      <x:c r="I21" s="108"/>
      <x:c r="J21" s="108"/>
      <x:c r="K21" s="108"/>
      <x:c r="L21" s="108"/>
      <x:c r="M21" s="108"/>
      <x:c r="N21" s="108"/>
      <x:c r="O21" s="108"/>
      <x:c r="P21" s="108"/>
      <x:c r="Q21" s="108"/>
      <x:c r="R21" s="108"/>
      <x:c r="S21" s="108"/>
      <x:c r="T21" s="108"/>
      <x:c r="U21" s="108"/>
      <x:c r="V21" s="108"/>
      <x:c r="W21" s="108"/>
      <x:c r="X21" s="108"/>
      <x:c r="Y21" s="108"/>
      <x:c r="Z21" s="108"/>
      <x:c r="AA21" s="108"/>
      <x:c r="AB21" s="108"/>
      <x:c r="AC21" s="108"/>
      <x:c r="AD21" s="108"/>
      <x:c r="AE21" s="108"/>
      <x:c r="AF21" s="108"/>
      <x:c r="AG21" s="108"/>
      <x:c r="AH21" s="108"/>
      <x:c r="AI21" s="108"/>
      <x:c r="AJ21" s="108"/>
      <x:c r="AK21" s="108"/>
    </x:row>
    <x:row r="22" ht="22" customHeight="1">
      <x:c r="A22" s="113" t="str">
        <x:v>Fixed operating expenses</x:v>
      </x:c>
      <x:c r="B22" s="123"/>
      <x:c r="C22" s="123"/>
      <x:c r="D22" s="123"/>
      <x:c r="E22" s="123"/>
      <x:c r="F22" s="123"/>
      <x:c r="G22" s="123"/>
      <x:c r="H22" s="123"/>
      <x:c r="I22" s="123"/>
      <x:c r="J22" s="123"/>
      <x:c r="K22" s="123"/>
      <x:c r="L22" s="123"/>
      <x:c r="M22" s="123"/>
      <x:c r="N22" s="123"/>
      <x:c r="O22" s="123"/>
      <x:c r="P22" s="123"/>
      <x:c r="Q22" s="123"/>
      <x:c r="R22" s="123"/>
      <x:c r="S22" s="123"/>
      <x:c r="T22" s="123"/>
      <x:c r="U22" s="123"/>
      <x:c r="V22" s="123"/>
      <x:c r="W22" s="123"/>
      <x:c r="X22" s="123"/>
      <x:c r="Y22" s="123"/>
      <x:c r="Z22" s="123"/>
      <x:c r="AA22" s="123"/>
      <x:c r="AB22" s="123"/>
      <x:c r="AC22" s="123"/>
      <x:c r="AD22" s="123"/>
      <x:c r="AE22" s="123"/>
      <x:c r="AF22" s="123"/>
      <x:c r="AG22" s="123"/>
      <x:c r="AH22" s="123"/>
      <x:c r="AI22" s="123"/>
      <x:c r="AJ22" s="123"/>
      <x:c r="AK22" s="123"/>
    </x:row>
    <x:row r="23">
      <x:c r="A23" s="98" t="str">
        <x:v>Cloud / technical stack (fixed)</x:v>
      </x:c>
      <x:c r="B23" s="107" t="n">
        <x:v>1000</x:v>
      </x:c>
      <x:c r="C23" s="107" t="n">
        <x:v>1000</x:v>
      </x:c>
      <x:c r="D23" s="107" t="n">
        <x:v>1000</x:v>
      </x:c>
      <x:c r="E23" s="107" t="n">
        <x:v>1000</x:v>
      </x:c>
      <x:c r="F23" s="107" t="n">
        <x:v>1000</x:v>
      </x:c>
      <x:c r="G23" s="107" t="n">
        <x:v>1000</x:v>
      </x:c>
      <x:c r="H23" s="107" t="n">
        <x:v>1000</x:v>
      </x:c>
      <x:c r="I23" s="107" t="n">
        <x:v>1000</x:v>
      </x:c>
      <x:c r="J23" s="107" t="n">
        <x:v>1000</x:v>
      </x:c>
      <x:c r="K23" s="107" t="n">
        <x:v>1000</x:v>
      </x:c>
      <x:c r="L23" s="107" t="n">
        <x:v>1000</x:v>
      </x:c>
      <x:c r="M23" s="107" t="n">
        <x:v>1000</x:v>
      </x:c>
      <x:c r="N23" s="107" t="n">
        <x:v>1250</x:v>
      </x:c>
      <x:c r="O23" s="107" t="n">
        <x:v>1250</x:v>
      </x:c>
      <x:c r="P23" s="107" t="n">
        <x:v>1250</x:v>
      </x:c>
      <x:c r="Q23" s="107" t="n">
        <x:v>1250</x:v>
      </x:c>
      <x:c r="R23" s="107" t="n">
        <x:v>1250</x:v>
      </x:c>
      <x:c r="S23" s="107" t="n">
        <x:v>1250</x:v>
      </x:c>
      <x:c r="T23" s="107" t="n">
        <x:v>1250</x:v>
      </x:c>
      <x:c r="U23" s="107" t="n">
        <x:v>1250</x:v>
      </x:c>
      <x:c r="V23" s="107" t="n">
        <x:v>1250</x:v>
      </x:c>
      <x:c r="W23" s="107" t="n">
        <x:v>1250</x:v>
      </x:c>
      <x:c r="X23" s="107" t="n">
        <x:v>1250</x:v>
      </x:c>
      <x:c r="Y23" s="107" t="n">
        <x:v>1250</x:v>
      </x:c>
      <x:c r="Z23" s="107" t="n">
        <x:v>2083.333333</x:v>
      </x:c>
      <x:c r="AA23" s="107" t="n">
        <x:v>2083.333333</x:v>
      </x:c>
      <x:c r="AB23" s="107" t="n">
        <x:v>2083.333333</x:v>
      </x:c>
      <x:c r="AC23" s="107" t="n">
        <x:v>2083.333333</x:v>
      </x:c>
      <x:c r="AD23" s="107" t="n">
        <x:v>2083.333333</x:v>
      </x:c>
      <x:c r="AE23" s="107" t="n">
        <x:v>2083.333333</x:v>
      </x:c>
      <x:c r="AF23" s="107" t="n">
        <x:v>2083.333333</x:v>
      </x:c>
      <x:c r="AG23" s="107" t="n">
        <x:v>2083.333333</x:v>
      </x:c>
      <x:c r="AH23" s="107" t="n">
        <x:v>2083.333333</x:v>
      </x:c>
      <x:c r="AI23" s="107" t="n">
        <x:v>2083.333333</x:v>
      </x:c>
      <x:c r="AJ23" s="107" t="n">
        <x:v>2083.333333</x:v>
      </x:c>
      <x:c r="AK23" s="107" t="n">
        <x:v>2083.333333</x:v>
      </x:c>
    </x:row>
    <x:row r="24">
      <x:c r="A24" s="98" t="str">
        <x:v>Sales / marketing / travel</x:v>
      </x:c>
      <x:c r="B24" s="107" t="n">
        <x:v>833.333333</x:v>
      </x:c>
      <x:c r="C24" s="107" t="n">
        <x:v>833.333333</x:v>
      </x:c>
      <x:c r="D24" s="107" t="n">
        <x:v>833.333333</x:v>
      </x:c>
      <x:c r="E24" s="107" t="n">
        <x:v>833.333333</x:v>
      </x:c>
      <x:c r="F24" s="107" t="n">
        <x:v>833.333333</x:v>
      </x:c>
      <x:c r="G24" s="107" t="n">
        <x:v>833.333333</x:v>
      </x:c>
      <x:c r="H24" s="107" t="n">
        <x:v>833.333333</x:v>
      </x:c>
      <x:c r="I24" s="107" t="n">
        <x:v>833.333333</x:v>
      </x:c>
      <x:c r="J24" s="107" t="n">
        <x:v>833.333333</x:v>
      </x:c>
      <x:c r="K24" s="107" t="n">
        <x:v>833.333333</x:v>
      </x:c>
      <x:c r="L24" s="107" t="n">
        <x:v>833.333333</x:v>
      </x:c>
      <x:c r="M24" s="107" t="n">
        <x:v>833.333333</x:v>
      </x:c>
      <x:c r="N24" s="107" t="n">
        <x:v>1666.666667</x:v>
      </x:c>
      <x:c r="O24" s="107" t="n">
        <x:v>1666.666667</x:v>
      </x:c>
      <x:c r="P24" s="107" t="n">
        <x:v>1666.666667</x:v>
      </x:c>
      <x:c r="Q24" s="107" t="n">
        <x:v>1666.666667</x:v>
      </x:c>
      <x:c r="R24" s="107" t="n">
        <x:v>1666.666667</x:v>
      </x:c>
      <x:c r="S24" s="107" t="n">
        <x:v>1666.666667</x:v>
      </x:c>
      <x:c r="T24" s="107" t="n">
        <x:v>1666.666667</x:v>
      </x:c>
      <x:c r="U24" s="107" t="n">
        <x:v>1666.666667</x:v>
      </x:c>
      <x:c r="V24" s="107" t="n">
        <x:v>1666.666667</x:v>
      </x:c>
      <x:c r="W24" s="107" t="n">
        <x:v>1666.666667</x:v>
      </x:c>
      <x:c r="X24" s="107" t="n">
        <x:v>1666.666667</x:v>
      </x:c>
      <x:c r="Y24" s="107" t="n">
        <x:v>1666.666667</x:v>
      </x:c>
      <x:c r="Z24" s="107" t="n">
        <x:v>3333.333333</x:v>
      </x:c>
      <x:c r="AA24" s="107" t="n">
        <x:v>3333.333333</x:v>
      </x:c>
      <x:c r="AB24" s="107" t="n">
        <x:v>3333.333333</x:v>
      </x:c>
      <x:c r="AC24" s="107" t="n">
        <x:v>3333.333333</x:v>
      </x:c>
      <x:c r="AD24" s="107" t="n">
        <x:v>3333.333333</x:v>
      </x:c>
      <x:c r="AE24" s="107" t="n">
        <x:v>3333.333333</x:v>
      </x:c>
      <x:c r="AF24" s="107" t="n">
        <x:v>3333.333333</x:v>
      </x:c>
      <x:c r="AG24" s="107" t="n">
        <x:v>3333.333333</x:v>
      </x:c>
      <x:c r="AH24" s="107" t="n">
        <x:v>3333.333333</x:v>
      </x:c>
      <x:c r="AI24" s="107" t="n">
        <x:v>3333.333333</x:v>
      </x:c>
      <x:c r="AJ24" s="107" t="n">
        <x:v>3333.333333</x:v>
      </x:c>
      <x:c r="AK24" s="107" t="n">
        <x:v>3333.333333</x:v>
      </x:c>
    </x:row>
    <x:row r="25">
      <x:c r="A25" s="98" t="str">
        <x:v>Legal / accounting / insurance</x:v>
      </x:c>
      <x:c r="B25" s="107" t="n">
        <x:v>833.333333</x:v>
      </x:c>
      <x:c r="C25" s="107" t="n">
        <x:v>833.333333</x:v>
      </x:c>
      <x:c r="D25" s="107" t="n">
        <x:v>833.333333</x:v>
      </x:c>
      <x:c r="E25" s="107" t="n">
        <x:v>833.333333</x:v>
      </x:c>
      <x:c r="F25" s="107" t="n">
        <x:v>833.333333</x:v>
      </x:c>
      <x:c r="G25" s="107" t="n">
        <x:v>833.333333</x:v>
      </x:c>
      <x:c r="H25" s="107" t="n">
        <x:v>833.333333</x:v>
      </x:c>
      <x:c r="I25" s="107" t="n">
        <x:v>833.333333</x:v>
      </x:c>
      <x:c r="J25" s="107" t="n">
        <x:v>833.333333</x:v>
      </x:c>
      <x:c r="K25" s="107" t="n">
        <x:v>833.333333</x:v>
      </x:c>
      <x:c r="L25" s="107" t="n">
        <x:v>833.333333</x:v>
      </x:c>
      <x:c r="M25" s="107" t="n">
        <x:v>833.333333</x:v>
      </x:c>
      <x:c r="N25" s="107" t="n">
        <x:v>1250</x:v>
      </x:c>
      <x:c r="O25" s="107" t="n">
        <x:v>1250</x:v>
      </x:c>
      <x:c r="P25" s="107" t="n">
        <x:v>1250</x:v>
      </x:c>
      <x:c r="Q25" s="107" t="n">
        <x:v>1250</x:v>
      </x:c>
      <x:c r="R25" s="107" t="n">
        <x:v>1250</x:v>
      </x:c>
      <x:c r="S25" s="107" t="n">
        <x:v>1250</x:v>
      </x:c>
      <x:c r="T25" s="107" t="n">
        <x:v>1250</x:v>
      </x:c>
      <x:c r="U25" s="107" t="n">
        <x:v>1250</x:v>
      </x:c>
      <x:c r="V25" s="107" t="n">
        <x:v>1250</x:v>
      </x:c>
      <x:c r="W25" s="107" t="n">
        <x:v>1250</x:v>
      </x:c>
      <x:c r="X25" s="107" t="n">
        <x:v>1250</x:v>
      </x:c>
      <x:c r="Y25" s="107" t="n">
        <x:v>1250</x:v>
      </x:c>
      <x:c r="Z25" s="107" t="n">
        <x:v>1666.666667</x:v>
      </x:c>
      <x:c r="AA25" s="107" t="n">
        <x:v>1666.666667</x:v>
      </x:c>
      <x:c r="AB25" s="107" t="n">
        <x:v>1666.666667</x:v>
      </x:c>
      <x:c r="AC25" s="107" t="n">
        <x:v>1666.666667</x:v>
      </x:c>
      <x:c r="AD25" s="107" t="n">
        <x:v>1666.666667</x:v>
      </x:c>
      <x:c r="AE25" s="107" t="n">
        <x:v>1666.666667</x:v>
      </x:c>
      <x:c r="AF25" s="107" t="n">
        <x:v>1666.666667</x:v>
      </x:c>
      <x:c r="AG25" s="107" t="n">
        <x:v>1666.666667</x:v>
      </x:c>
      <x:c r="AH25" s="107" t="n">
        <x:v>1666.666667</x:v>
      </x:c>
      <x:c r="AI25" s="107" t="n">
        <x:v>1666.666667</x:v>
      </x:c>
      <x:c r="AJ25" s="107" t="n">
        <x:v>1666.666667</x:v>
      </x:c>
      <x:c r="AK25" s="107" t="n">
        <x:v>1666.666667</x:v>
      </x:c>
    </x:row>
    <x:row r="26">
      <x:c r="A26" s="98" t="str">
        <x:v>Workspace / communication / general tools</x:v>
      </x:c>
      <x:c r="B26" s="107" t="n">
        <x:v>500</x:v>
      </x:c>
      <x:c r="C26" s="107" t="n">
        <x:v>500</x:v>
      </x:c>
      <x:c r="D26" s="107" t="n">
        <x:v>500</x:v>
      </x:c>
      <x:c r="E26" s="107" t="n">
        <x:v>500</x:v>
      </x:c>
      <x:c r="F26" s="107" t="n">
        <x:v>500</x:v>
      </x:c>
      <x:c r="G26" s="107" t="n">
        <x:v>500</x:v>
      </x:c>
      <x:c r="H26" s="107" t="n">
        <x:v>500</x:v>
      </x:c>
      <x:c r="I26" s="107" t="n">
        <x:v>500</x:v>
      </x:c>
      <x:c r="J26" s="107" t="n">
        <x:v>500</x:v>
      </x:c>
      <x:c r="K26" s="107" t="n">
        <x:v>500</x:v>
      </x:c>
      <x:c r="L26" s="107" t="n">
        <x:v>500</x:v>
      </x:c>
      <x:c r="M26" s="107" t="n">
        <x:v>500</x:v>
      </x:c>
      <x:c r="N26" s="107" t="n">
        <x:v>833.333333</x:v>
      </x:c>
      <x:c r="O26" s="107" t="n">
        <x:v>833.333333</x:v>
      </x:c>
      <x:c r="P26" s="107" t="n">
        <x:v>833.333333</x:v>
      </x:c>
      <x:c r="Q26" s="107" t="n">
        <x:v>833.333333</x:v>
      </x:c>
      <x:c r="R26" s="107" t="n">
        <x:v>833.333333</x:v>
      </x:c>
      <x:c r="S26" s="107" t="n">
        <x:v>833.333333</x:v>
      </x:c>
      <x:c r="T26" s="107" t="n">
        <x:v>833.333333</x:v>
      </x:c>
      <x:c r="U26" s="107" t="n">
        <x:v>833.333333</x:v>
      </x:c>
      <x:c r="V26" s="107" t="n">
        <x:v>833.333333</x:v>
      </x:c>
      <x:c r="W26" s="107" t="n">
        <x:v>833.333333</x:v>
      </x:c>
      <x:c r="X26" s="107" t="n">
        <x:v>833.333333</x:v>
      </x:c>
      <x:c r="Y26" s="107" t="n">
        <x:v>833.333333</x:v>
      </x:c>
      <x:c r="Z26" s="107" t="n">
        <x:v>1666.666667</x:v>
      </x:c>
      <x:c r="AA26" s="107" t="n">
        <x:v>1666.666667</x:v>
      </x:c>
      <x:c r="AB26" s="107" t="n">
        <x:v>1666.666667</x:v>
      </x:c>
      <x:c r="AC26" s="107" t="n">
        <x:v>1666.666667</x:v>
      </x:c>
      <x:c r="AD26" s="107" t="n">
        <x:v>1666.666667</x:v>
      </x:c>
      <x:c r="AE26" s="107" t="n">
        <x:v>1666.666667</x:v>
      </x:c>
      <x:c r="AF26" s="107" t="n">
        <x:v>1666.666667</x:v>
      </x:c>
      <x:c r="AG26" s="107" t="n">
        <x:v>1666.666667</x:v>
      </x:c>
      <x:c r="AH26" s="107" t="n">
        <x:v>1666.666667</x:v>
      </x:c>
      <x:c r="AI26" s="107" t="n">
        <x:v>1666.666667</x:v>
      </x:c>
      <x:c r="AJ26" s="107" t="n">
        <x:v>1666.666667</x:v>
      </x:c>
      <x:c r="AK26" s="107" t="n">
        <x:v>1666.666667</x:v>
      </x:c>
    </x:row>
    <x:row r="27">
      <x:c r="A27" s="109" t="str">
        <x:v>Total fixed opex</x:v>
      </x:c>
      <x:c r="B27" s="110" t="n">
        <x:f>SUM(B23:B26)</x:f>
        <x:v>3166.666666</x:v>
      </x:c>
      <x:c r="C27" s="110" t="n">
        <x:f>SUM(C23:C26)</x:f>
        <x:v>3166.666666</x:v>
      </x:c>
      <x:c r="D27" s="110" t="n">
        <x:f>SUM(D23:D26)</x:f>
        <x:v>3166.666666</x:v>
      </x:c>
      <x:c r="E27" s="110" t="n">
        <x:f>SUM(E23:E26)</x:f>
        <x:v>3166.666666</x:v>
      </x:c>
      <x:c r="F27" s="110" t="n">
        <x:f>SUM(F23:F26)</x:f>
        <x:v>3166.666666</x:v>
      </x:c>
      <x:c r="G27" s="110" t="n">
        <x:f>SUM(G23:G26)</x:f>
        <x:v>3166.666666</x:v>
      </x:c>
      <x:c r="H27" s="110" t="n">
        <x:f>SUM(H23:H26)</x:f>
        <x:v>3166.666666</x:v>
      </x:c>
      <x:c r="I27" s="110" t="n">
        <x:f>SUM(I23:I26)</x:f>
        <x:v>3166.666666</x:v>
      </x:c>
      <x:c r="J27" s="110" t="n">
        <x:f>SUM(J23:J26)</x:f>
        <x:v>3166.666666</x:v>
      </x:c>
      <x:c r="K27" s="110" t="n">
        <x:f>SUM(K23:K26)</x:f>
        <x:v>3166.666666</x:v>
      </x:c>
      <x:c r="L27" s="110" t="n">
        <x:f>SUM(L23:L26)</x:f>
        <x:v>3166.666666</x:v>
      </x:c>
      <x:c r="M27" s="110" t="n">
        <x:f>SUM(M23:M26)</x:f>
        <x:v>3166.666666</x:v>
      </x:c>
      <x:c r="N27" s="110" t="n">
        <x:f>SUM(N23:N26)</x:f>
        <x:v>5000</x:v>
      </x:c>
      <x:c r="O27" s="110" t="n">
        <x:f>SUM(O23:O26)</x:f>
        <x:v>5000</x:v>
      </x:c>
      <x:c r="P27" s="110" t="n">
        <x:f>SUM(P23:P26)</x:f>
        <x:v>5000</x:v>
      </x:c>
      <x:c r="Q27" s="110" t="n">
        <x:f>SUM(Q23:Q26)</x:f>
        <x:v>5000</x:v>
      </x:c>
      <x:c r="R27" s="110" t="n">
        <x:f>SUM(R23:R26)</x:f>
        <x:v>5000</x:v>
      </x:c>
      <x:c r="S27" s="110" t="n">
        <x:f>SUM(S23:S26)</x:f>
        <x:v>5000</x:v>
      </x:c>
      <x:c r="T27" s="110" t="n">
        <x:f>SUM(T23:T26)</x:f>
        <x:v>5000</x:v>
      </x:c>
      <x:c r="U27" s="110" t="n">
        <x:f>SUM(U23:U26)</x:f>
        <x:v>5000</x:v>
      </x:c>
      <x:c r="V27" s="110" t="n">
        <x:f>SUM(V23:V26)</x:f>
        <x:v>5000</x:v>
      </x:c>
      <x:c r="W27" s="110" t="n">
        <x:f>SUM(W23:W26)</x:f>
        <x:v>5000</x:v>
      </x:c>
      <x:c r="X27" s="110" t="n">
        <x:f>SUM(X23:X26)</x:f>
        <x:v>5000</x:v>
      </x:c>
      <x:c r="Y27" s="110" t="n">
        <x:f>SUM(Y23:Y26)</x:f>
        <x:v>5000</x:v>
      </x:c>
      <x:c r="Z27" s="110" t="n">
        <x:f>SUM(Z23:Z26)</x:f>
        <x:v>8750</x:v>
      </x:c>
      <x:c r="AA27" s="110" t="n">
        <x:f>SUM(AA23:AA26)</x:f>
        <x:v>8750</x:v>
      </x:c>
      <x:c r="AB27" s="110" t="n">
        <x:f>SUM(AB23:AB26)</x:f>
        <x:v>8750</x:v>
      </x:c>
      <x:c r="AC27" s="110" t="n">
        <x:f>SUM(AC23:AC26)</x:f>
        <x:v>8750</x:v>
      </x:c>
      <x:c r="AD27" s="110" t="n">
        <x:f>SUM(AD23:AD26)</x:f>
        <x:v>8750</x:v>
      </x:c>
      <x:c r="AE27" s="110" t="n">
        <x:f>SUM(AE23:AE26)</x:f>
        <x:v>8750</x:v>
      </x:c>
      <x:c r="AF27" s="110" t="n">
        <x:f>SUM(AF23:AF26)</x:f>
        <x:v>8750</x:v>
      </x:c>
      <x:c r="AG27" s="110" t="n">
        <x:f>SUM(AG23:AG26)</x:f>
        <x:v>8750</x:v>
      </x:c>
      <x:c r="AH27" s="110" t="n">
        <x:f>SUM(AH23:AH26)</x:f>
        <x:v>8750</x:v>
      </x:c>
      <x:c r="AI27" s="110" t="n">
        <x:f>SUM(AI23:AI26)</x:f>
        <x:v>8750</x:v>
      </x:c>
      <x:c r="AJ27" s="110" t="n">
        <x:f>SUM(AJ23:AJ26)</x:f>
        <x:v>8750</x:v>
      </x:c>
      <x:c r="AK27" s="110" t="n">
        <x:f>SUM(AK23:AK26)</x:f>
        <x:v>8750</x:v>
      </x:c>
    </x:row>
    <x:row r="28">
      <x:c r="A28" s="118" t="str">
        <x:v>Direct recurring-revenue COGS</x:v>
      </x:c>
      <x:c r="B28" s="119" t="n">
        <x:f>'Revenue Cohorts'!H34*'Assumptions'!$B$20</x:f>
        <x:v>0</x:v>
      </x:c>
      <x:c r="C28" s="119" t="n">
        <x:f>'Revenue Cohorts'!I34*'Assumptions'!$B$20</x:f>
        <x:v>0</x:v>
      </x:c>
      <x:c r="D28" s="119" t="n">
        <x:f>'Revenue Cohorts'!J34*'Assumptions'!$B$20</x:f>
        <x:v>0</x:v>
      </x:c>
      <x:c r="E28" s="119" t="n">
        <x:f>'Revenue Cohorts'!K34*'Assumptions'!$B$20</x:f>
        <x:v>0</x:v>
      </x:c>
      <x:c r="F28" s="119" t="n">
        <x:f>'Revenue Cohorts'!L34*'Assumptions'!$B$20</x:f>
        <x:v>0</x:v>
      </x:c>
      <x:c r="G28" s="119" t="n">
        <x:f>'Revenue Cohorts'!M34*'Assumptions'!$B$20</x:f>
        <x:v>270</x:v>
      </x:c>
      <x:c r="H28" s="119" t="n">
        <x:f>'Revenue Cohorts'!N34*'Assumptions'!$B$20</x:f>
        <x:v>270</x:v>
      </x:c>
      <x:c r="I28" s="119" t="n">
        <x:f>'Revenue Cohorts'!O34*'Assumptions'!$B$20</x:f>
        <x:v>540</x:v>
      </x:c>
      <x:c r="J28" s="119" t="n">
        <x:f>'Revenue Cohorts'!P34*'Assumptions'!$B$20</x:f>
        <x:v>540</x:v>
      </x:c>
      <x:c r="K28" s="119" t="n">
        <x:f>'Revenue Cohorts'!Q34*'Assumptions'!$B$20</x:f>
        <x:v>810</x:v>
      </x:c>
      <x:c r="L28" s="119" t="n">
        <x:f>'Revenue Cohorts'!R34*'Assumptions'!$B$20</x:f>
        <x:v>810</x:v>
      </x:c>
      <x:c r="M28" s="119" t="n">
        <x:f>'Revenue Cohorts'!S34*'Assumptions'!$B$20</x:f>
        <x:v>1080</x:v>
      </x:c>
      <x:c r="N28" s="119" t="n">
        <x:f>'Revenue Cohorts'!T34*'Assumptions'!$B$20</x:f>
        <x:v>1080</x:v>
      </x:c>
      <x:c r="O28" s="119" t="n">
        <x:f>'Revenue Cohorts'!U34*'Assumptions'!$B$20</x:f>
        <x:v>1452.6</x:v>
      </x:c>
      <x:c r="P28" s="119" t="n">
        <x:f>'Revenue Cohorts'!V34*'Assumptions'!$B$20</x:f>
        <x:v>1825.2</x:v>
      </x:c>
      <x:c r="Q28" s="119" t="n">
        <x:f>'Revenue Cohorts'!W34*'Assumptions'!$B$20</x:f>
        <x:v>1825.2</x:v>
      </x:c>
      <x:c r="R28" s="119" t="n">
        <x:f>'Revenue Cohorts'!X34*'Assumptions'!$B$20</x:f>
        <x:v>2197.7999999999997</x:v>
      </x:c>
      <x:c r="S28" s="119" t="n">
        <x:f>'Revenue Cohorts'!Y34*'Assumptions'!$B$20</x:f>
        <x:v>2570.4</x:v>
      </x:c>
      <x:c r="T28" s="119" t="n">
        <x:f>'Revenue Cohorts'!Z34*'Assumptions'!$B$20</x:f>
        <x:v>2570.4</x:v>
      </x:c>
      <x:c r="U28" s="119" t="n">
        <x:f>'Revenue Cohorts'!AA34*'Assumptions'!$B$20</x:f>
        <x:v>2943</x:v>
      </x:c>
      <x:c r="V28" s="119" t="n">
        <x:f>'Revenue Cohorts'!AB34*'Assumptions'!$B$20</x:f>
        <x:v>3315.6</x:v>
      </x:c>
      <x:c r="W28" s="119" t="n">
        <x:f>'Revenue Cohorts'!AC34*'Assumptions'!$B$20</x:f>
        <x:v>3315.6</x:v>
      </x:c>
      <x:c r="X28" s="119" t="n">
        <x:f>'Revenue Cohorts'!AD34*'Assumptions'!$B$20</x:f>
        <x:v>3688.2</x:v>
      </x:c>
      <x:c r="Y28" s="119" t="n">
        <x:f>'Revenue Cohorts'!AE34*'Assumptions'!$B$20</x:f>
        <x:v>4060.7999999999997</x:v>
      </x:c>
      <x:c r="Z28" s="119" t="n">
        <x:f>'Revenue Cohorts'!AF34*'Assumptions'!$B$20</x:f>
        <x:v>4060.7999999999997</x:v>
      </x:c>
      <x:c r="AA28" s="119" t="n">
        <x:f>'Revenue Cohorts'!AG34*'Assumptions'!$B$20</x:f>
        <x:v>4433.4</x:v>
      </x:c>
      <x:c r="AB28" s="119" t="n">
        <x:f>'Revenue Cohorts'!AH34*'Assumptions'!$B$20</x:f>
        <x:v>4806</x:v>
      </x:c>
      <x:c r="AC28" s="119" t="n">
        <x:f>'Revenue Cohorts'!AI34*'Assumptions'!$B$20</x:f>
        <x:v>5178.599999999999</x:v>
      </x:c>
      <x:c r="AD28" s="119" t="n">
        <x:f>'Revenue Cohorts'!AJ34*'Assumptions'!$B$20</x:f>
        <x:v>5551.2</x:v>
      </x:c>
      <x:c r="AE28" s="119" t="n">
        <x:f>'Revenue Cohorts'!AK34*'Assumptions'!$B$20</x:f>
        <x:v>5923.8</x:v>
      </x:c>
      <x:c r="AF28" s="119" t="n">
        <x:f>'Revenue Cohorts'!AL34*'Assumptions'!$B$20</x:f>
        <x:v>6296.4</x:v>
      </x:c>
      <x:c r="AG28" s="119" t="n">
        <x:f>'Revenue Cohorts'!AM34*'Assumptions'!$B$20</x:f>
        <x:v>6669</x:v>
      </x:c>
      <x:c r="AH28" s="119" t="n">
        <x:f>'Revenue Cohorts'!AN34*'Assumptions'!$B$20</x:f>
        <x:v>7041.599999999999</x:v>
      </x:c>
      <x:c r="AI28" s="119" t="n">
        <x:f>'Revenue Cohorts'!AO34*'Assumptions'!$B$20</x:f>
        <x:v>7414.2</x:v>
      </x:c>
      <x:c r="AJ28" s="119" t="n">
        <x:f>'Revenue Cohorts'!AP34*'Assumptions'!$B$20</x:f>
        <x:v>7786.799999999999</x:v>
      </x:c>
      <x:c r="AK28" s="119" t="n">
        <x:f>'Revenue Cohorts'!AQ34*'Assumptions'!$B$20</x:f>
        <x:v>8532</x:v>
      </x:c>
    </x:row>
    <x:row r="29">
      <x:c r="A29" s="111" t="str">
        <x:v>Total operating cash cost</x:v>
      </x:c>
      <x:c r="B29" s="112" t="n">
        <x:f>B19+B27+B28</x:f>
        <x:v>3166.666666</x:v>
      </x:c>
      <x:c r="C29" s="112" t="n">
        <x:f>C19+C27+C28</x:f>
        <x:v>3166.666666</x:v>
      </x:c>
      <x:c r="D29" s="112" t="n">
        <x:f>D19+D27+D28</x:f>
        <x:v>3166.666666</x:v>
      </x:c>
      <x:c r="E29" s="112" t="n">
        <x:f>E19+E27+E28</x:f>
        <x:v>3166.666666</x:v>
      </x:c>
      <x:c r="F29" s="112" t="n">
        <x:f>F19+F27+F28</x:f>
        <x:v>3166.666666</x:v>
      </x:c>
      <x:c r="G29" s="112" t="n">
        <x:f>G19+G27+G28</x:f>
        <x:v>3436.666666</x:v>
      </x:c>
      <x:c r="H29" s="112" t="n">
        <x:f>H19+H27+H28</x:f>
        <x:v>3436.666666</x:v>
      </x:c>
      <x:c r="I29" s="112" t="n">
        <x:f>I19+I27+I28</x:f>
        <x:v>3706.666666</x:v>
      </x:c>
      <x:c r="J29" s="112" t="n">
        <x:f>J19+J27+J28</x:f>
        <x:v>3706.666666</x:v>
      </x:c>
      <x:c r="K29" s="112" t="n">
        <x:f>K19+K27+K28</x:f>
        <x:v>3976.666666</x:v>
      </x:c>
      <x:c r="L29" s="112" t="n">
        <x:f>L19+L27+L28</x:f>
        <x:v>3976.666666</x:v>
      </x:c>
      <x:c r="M29" s="112" t="n">
        <x:f>M19+M27+M28</x:f>
        <x:v>4246.666666</x:v>
      </x:c>
      <x:c r="N29" s="112" t="n">
        <x:f>N19+N27+N28</x:f>
        <x:v>19880</x:v>
      </x:c>
      <x:c r="O29" s="112" t="n">
        <x:f>O19+O27+O28</x:f>
        <x:v>20252.6</x:v>
      </x:c>
      <x:c r="P29" s="112" t="n">
        <x:f>P19+P27+P28</x:f>
        <x:v>20625.2</x:v>
      </x:c>
      <x:c r="Q29" s="112" t="n">
        <x:f>Q19+Q27+Q28</x:f>
        <x:v>20625.2</x:v>
      </x:c>
      <x:c r="R29" s="112" t="n">
        <x:f>R19+R27+R28</x:f>
        <x:v>20997.8</x:v>
      </x:c>
      <x:c r="S29" s="112" t="n">
        <x:f>S19+S27+S28</x:f>
        <x:v>21370.4</x:v>
      </x:c>
      <x:c r="T29" s="112" t="n">
        <x:f>T19+T27+T28</x:f>
        <x:v>21370.4</x:v>
      </x:c>
      <x:c r="U29" s="112" t="n">
        <x:f>U19+U27+U28</x:f>
        <x:v>28343</x:v>
      </x:c>
      <x:c r="V29" s="112" t="n">
        <x:f>V19+V27+V28</x:f>
        <x:v>28715.6</x:v>
      </x:c>
      <x:c r="W29" s="112" t="n">
        <x:f>W19+W27+W28</x:f>
        <x:v>28715.6</x:v>
      </x:c>
      <x:c r="X29" s="112" t="n">
        <x:f>X19+X27+X28</x:f>
        <x:v>29088.2</x:v>
      </x:c>
      <x:c r="Y29" s="112" t="n">
        <x:f>Y19+Y27+Y28</x:f>
        <x:v>29460.8</x:v>
      </x:c>
      <x:c r="Z29" s="112" t="n">
        <x:f>Z19+Z27+Z28</x:f>
        <x:v>35010.8</x:v>
      </x:c>
      <x:c r="AA29" s="112" t="n">
        <x:f>AA19+AA27+AA28</x:f>
        <x:v>35383.4</x:v>
      </x:c>
      <x:c r="AB29" s="112" t="n">
        <x:f>AB19+AB27+AB28</x:f>
        <x:v>35756</x:v>
      </x:c>
      <x:c r="AC29" s="112" t="n">
        <x:f>AC19+AC27+AC28</x:f>
        <x:v>41528.6</x:v>
      </x:c>
      <x:c r="AD29" s="112" t="n">
        <x:f>AD19+AD27+AD28</x:f>
        <x:v>41901.2</x:v>
      </x:c>
      <x:c r="AE29" s="112" t="n">
        <x:f>AE19+AE27+AE28</x:f>
        <x:v>42273.8</x:v>
      </x:c>
      <x:c r="AF29" s="112" t="n">
        <x:f>AF19+AF27+AF28</x:f>
        <x:v>48646.4</x:v>
      </x:c>
      <x:c r="AG29" s="112" t="n">
        <x:f>AG19+AG27+AG28</x:f>
        <x:v>49019</x:v>
      </x:c>
      <x:c r="AH29" s="112" t="n">
        <x:f>AH19+AH27+AH28</x:f>
        <x:v>49391.6</x:v>
      </x:c>
      <x:c r="AI29" s="112" t="n">
        <x:f>AI19+AI27+AI28</x:f>
        <x:v>49764.2</x:v>
      </x:c>
      <x:c r="AJ29" s="112" t="n">
        <x:f>AJ19+AJ27+AJ28</x:f>
        <x:v>50136.8</x:v>
      </x:c>
      <x:c r="AK29" s="112" t="n">
        <x:f>AK19+AK27+AK28</x:f>
        <x:v>50882</x:v>
      </x:c>
    </x:row>
    <x:row r="30">
      <x:c r="A30" s="98"/>
      <x:c r="B30" s="98"/>
      <x:c r="C30" s="98"/>
      <x:c r="D30" s="98"/>
      <x:c r="E30" s="98"/>
      <x:c r="F30" s="98"/>
      <x:c r="G30" s="98"/>
      <x:c r="H30" s="98"/>
      <x:c r="I30" s="98"/>
      <x:c r="J30" s="98"/>
      <x:c r="K30" s="98"/>
      <x:c r="L30" s="98"/>
      <x:c r="M30" s="98"/>
      <x:c r="N30" s="98"/>
      <x:c r="O30" s="98"/>
      <x:c r="P30" s="98"/>
      <x:c r="Q30" s="98"/>
      <x:c r="R30" s="98"/>
      <x:c r="S30" s="98"/>
      <x:c r="T30" s="98"/>
      <x:c r="U30" s="98"/>
      <x:c r="V30" s="98"/>
      <x:c r="W30" s="98"/>
      <x:c r="X30" s="98"/>
      <x:c r="Y30" s="98"/>
      <x:c r="Z30" s="98"/>
      <x:c r="AA30" s="98"/>
      <x:c r="AB30" s="98"/>
      <x:c r="AC30" s="98"/>
      <x:c r="AD30" s="98"/>
      <x:c r="AE30" s="98"/>
      <x:c r="AF30" s="98"/>
      <x:c r="AG30" s="98"/>
      <x:c r="AH30" s="98"/>
      <x:c r="AI30" s="98"/>
      <x:c r="AJ30" s="98"/>
      <x:c r="AK30" s="98"/>
    </x:row>
    <x:row r="31">
      <x:c r="A31" s="98"/>
      <x:c r="B31" s="98"/>
      <x:c r="C31" s="98"/>
      <x:c r="D31" s="98"/>
      <x:c r="E31" s="98"/>
      <x:c r="F31" s="98"/>
      <x:c r="G31" s="98"/>
      <x:c r="H31" s="98"/>
      <x:c r="I31" s="98"/>
      <x:c r="J31" s="98"/>
      <x:c r="K31" s="98"/>
      <x:c r="L31" s="98"/>
      <x:c r="M31" s="98"/>
      <x:c r="N31" s="98"/>
      <x:c r="O31" s="98"/>
      <x:c r="P31" s="98"/>
      <x:c r="Q31" s="98"/>
      <x:c r="R31" s="98"/>
      <x:c r="S31" s="98"/>
      <x:c r="T31" s="98"/>
      <x:c r="U31" s="98"/>
      <x:c r="V31" s="98"/>
      <x:c r="W31" s="98"/>
      <x:c r="X31" s="98"/>
      <x:c r="Y31" s="98"/>
      <x:c r="Z31" s="98"/>
      <x:c r="AA31" s="98"/>
      <x:c r="AB31" s="98"/>
      <x:c r="AC31" s="98"/>
      <x:c r="AD31" s="98"/>
      <x:c r="AE31" s="98"/>
      <x:c r="AF31" s="98"/>
      <x:c r="AG31" s="98"/>
      <x:c r="AH31" s="98"/>
      <x:c r="AI31" s="98"/>
      <x:c r="AJ31" s="98"/>
      <x:c r="AK31" s="98"/>
    </x:row>
    <x:row r="32">
      <x:c r="A32" s="114" t="str">
        <x:v>Annual summary</x:v>
      </x:c>
      <x:c r="B32" s="115" t="str">
        <x:v>Year 1</x:v>
      </x:c>
      <x:c r="C32" s="115" t="str">
        <x:v>Year 2</x:v>
      </x:c>
      <x:c r="D32" s="116" t="str">
        <x:v>Year 3</x:v>
      </x:c>
      <x:c r="E32" s="98"/>
      <x:c r="F32" s="98"/>
      <x:c r="G32" s="98"/>
      <x:c r="H32" s="98"/>
      <x:c r="I32" s="98"/>
      <x:c r="J32" s="98"/>
      <x:c r="K32" s="98"/>
      <x:c r="L32" s="98"/>
      <x:c r="M32" s="98"/>
      <x:c r="N32" s="98"/>
      <x:c r="O32" s="98"/>
      <x:c r="P32" s="98"/>
      <x:c r="Q32" s="98"/>
      <x:c r="R32" s="98"/>
      <x:c r="S32" s="98"/>
      <x:c r="T32" s="98"/>
      <x:c r="U32" s="98"/>
      <x:c r="V32" s="98"/>
      <x:c r="W32" s="98"/>
      <x:c r="X32" s="98"/>
      <x:c r="Y32" s="98"/>
      <x:c r="Z32" s="98"/>
      <x:c r="AA32" s="98"/>
      <x:c r="AB32" s="98"/>
      <x:c r="AC32" s="98"/>
      <x:c r="AD32" s="98"/>
      <x:c r="AE32" s="98"/>
      <x:c r="AF32" s="98"/>
      <x:c r="AG32" s="98"/>
      <x:c r="AH32" s="98"/>
      <x:c r="AI32" s="98"/>
      <x:c r="AJ32" s="98"/>
      <x:c r="AK32" s="98"/>
    </x:row>
    <x:row r="33">
      <x:c r="A33" s="98" t="str">
        <x:v>Founder employer cost</x:v>
      </x:c>
      <x:c r="B33" s="108" t="n">
        <x:f>SUM(B13:M15)</x:f>
        <x:v>0</x:v>
      </x:c>
      <x:c r="C33" s="108" t="n">
        <x:f>SUM(N13:Y15)</x:f>
        <x:v>165600</x:v>
      </x:c>
      <x:c r="D33" s="108" t="n">
        <x:f>SUM(Z13:AK15)</x:f>
        <x:v>187200</x:v>
      </x:c>
      <x:c r="E33" s="98"/>
      <x:c r="F33" s="98"/>
      <x:c r="G33" s="98"/>
      <x:c r="H33" s="98"/>
      <x:c r="I33" s="98"/>
      <x:c r="J33" s="98"/>
      <x:c r="K33" s="98"/>
      <x:c r="L33" s="98"/>
      <x:c r="M33" s="98"/>
      <x:c r="N33" s="98"/>
      <x:c r="O33" s="98"/>
      <x:c r="P33" s="98"/>
      <x:c r="Q33" s="98"/>
      <x:c r="R33" s="98"/>
      <x:c r="S33" s="98"/>
      <x:c r="T33" s="98"/>
      <x:c r="U33" s="98"/>
      <x:c r="V33" s="98"/>
      <x:c r="W33" s="98"/>
      <x:c r="X33" s="98"/>
      <x:c r="Y33" s="98"/>
      <x:c r="Z33" s="98"/>
      <x:c r="AA33" s="98"/>
      <x:c r="AB33" s="98"/>
      <x:c r="AC33" s="98"/>
      <x:c r="AD33" s="98"/>
      <x:c r="AE33" s="98"/>
      <x:c r="AF33" s="98"/>
      <x:c r="AG33" s="98"/>
      <x:c r="AH33" s="98"/>
      <x:c r="AI33" s="98"/>
      <x:c r="AJ33" s="98"/>
      <x:c r="AK33" s="98"/>
    </x:row>
    <x:row r="34">
      <x:c r="A34" s="98" t="str">
        <x:v>Additional employee employer cost</x:v>
      </x:c>
      <x:c r="B34" s="108" t="n">
        <x:f>SUM(B16:M18)</x:f>
        <x:v>0</x:v>
      </x:c>
      <x:c r="C34" s="108" t="n">
        <x:f>SUM(N16:Y18)</x:f>
        <x:v>33000</x:v>
      </x:c>
      <x:c r="D34" s="108" t="n">
        <x:f>SUM(Z16:AK18)</x:f>
        <x:v>163800</x:v>
      </x:c>
      <x:c r="E34" s="98"/>
      <x:c r="F34" s="98"/>
      <x:c r="G34" s="98"/>
      <x:c r="H34" s="98"/>
      <x:c r="I34" s="98"/>
      <x:c r="J34" s="98"/>
      <x:c r="K34" s="98"/>
      <x:c r="L34" s="98"/>
      <x:c r="M34" s="98"/>
      <x:c r="N34" s="98"/>
      <x:c r="O34" s="98"/>
      <x:c r="P34" s="98"/>
      <x:c r="Q34" s="98"/>
      <x:c r="R34" s="98"/>
      <x:c r="S34" s="98"/>
      <x:c r="T34" s="98"/>
      <x:c r="U34" s="98"/>
      <x:c r="V34" s="98"/>
      <x:c r="W34" s="98"/>
      <x:c r="X34" s="98"/>
      <x:c r="Y34" s="98"/>
      <x:c r="Z34" s="98"/>
      <x:c r="AA34" s="98"/>
      <x:c r="AB34" s="98"/>
      <x:c r="AC34" s="98"/>
      <x:c r="AD34" s="98"/>
      <x:c r="AE34" s="98"/>
      <x:c r="AF34" s="98"/>
      <x:c r="AG34" s="98"/>
      <x:c r="AH34" s="98"/>
      <x:c r="AI34" s="98"/>
      <x:c r="AJ34" s="98"/>
      <x:c r="AK34" s="98"/>
    </x:row>
    <x:row r="35">
      <x:c r="A35" s="109" t="str">
        <x:v>Total personnel</x:v>
      </x:c>
      <x:c r="B35" s="110" t="n">
        <x:f>SUM(B19:M19)</x:f>
        <x:v>0</x:v>
      </x:c>
      <x:c r="C35" s="110" t="n">
        <x:f>SUM(N19:Y19)</x:f>
        <x:v>198600</x:v>
      </x:c>
      <x:c r="D35" s="110" t="n">
        <x:f>SUM(Z19:AK19)</x:f>
        <x:v>351000</x:v>
      </x:c>
      <x:c r="E35" s="98"/>
      <x:c r="F35" s="98"/>
      <x:c r="G35" s="98"/>
      <x:c r="H35" s="98"/>
      <x:c r="I35" s="98"/>
      <x:c r="J35" s="98"/>
      <x:c r="K35" s="98"/>
      <x:c r="L35" s="98"/>
      <x:c r="M35" s="98"/>
      <x:c r="N35" s="98"/>
      <x:c r="O35" s="98"/>
      <x:c r="P35" s="98"/>
      <x:c r="Q35" s="98"/>
      <x:c r="R35" s="98"/>
      <x:c r="S35" s="98"/>
      <x:c r="T35" s="98"/>
      <x:c r="U35" s="98"/>
      <x:c r="V35" s="98"/>
      <x:c r="W35" s="98"/>
      <x:c r="X35" s="98"/>
      <x:c r="Y35" s="98"/>
      <x:c r="Z35" s="98"/>
      <x:c r="AA35" s="98"/>
      <x:c r="AB35" s="98"/>
      <x:c r="AC35" s="98"/>
      <x:c r="AD35" s="98"/>
      <x:c r="AE35" s="98"/>
      <x:c r="AF35" s="98"/>
      <x:c r="AG35" s="98"/>
      <x:c r="AH35" s="98"/>
      <x:c r="AI35" s="98"/>
      <x:c r="AJ35" s="98"/>
      <x:c r="AK35" s="98"/>
    </x:row>
    <x:row r="36">
      <x:c r="A36" s="118" t="str">
        <x:v>Fixed opex</x:v>
      </x:c>
      <x:c r="B36" s="119" t="n">
        <x:f>SUM(B27:M27)</x:f>
        <x:v>37999.999992000005</x:v>
      </x:c>
      <x:c r="C36" s="119" t="n">
        <x:f>SUM(N27:Y27)</x:f>
        <x:v>60000</x:v>
      </x:c>
      <x:c r="D36" s="119" t="n">
        <x:f>SUM(Z27:AK27)</x:f>
        <x:v>105000</x:v>
      </x:c>
      <x:c r="E36" s="98"/>
      <x:c r="F36" s="98"/>
      <x:c r="G36" s="98"/>
      <x:c r="H36" s="98"/>
      <x:c r="I36" s="98"/>
      <x:c r="J36" s="98"/>
      <x:c r="K36" s="98"/>
      <x:c r="L36" s="98"/>
      <x:c r="M36" s="98"/>
      <x:c r="N36" s="98"/>
      <x:c r="O36" s="98"/>
      <x:c r="P36" s="98"/>
      <x:c r="Q36" s="98"/>
      <x:c r="R36" s="98"/>
      <x:c r="S36" s="98"/>
      <x:c r="T36" s="98"/>
      <x:c r="U36" s="98"/>
      <x:c r="V36" s="98"/>
      <x:c r="W36" s="98"/>
      <x:c r="X36" s="98"/>
      <x:c r="Y36" s="98"/>
      <x:c r="Z36" s="98"/>
      <x:c r="AA36" s="98"/>
      <x:c r="AB36" s="98"/>
      <x:c r="AC36" s="98"/>
      <x:c r="AD36" s="98"/>
      <x:c r="AE36" s="98"/>
      <x:c r="AF36" s="98"/>
      <x:c r="AG36" s="98"/>
      <x:c r="AH36" s="98"/>
      <x:c r="AI36" s="98"/>
      <x:c r="AJ36" s="98"/>
      <x:c r="AK36" s="98"/>
    </x:row>
    <x:row r="37">
      <x:c r="A37" s="118" t="str">
        <x:v>Direct COGS</x:v>
      </x:c>
      <x:c r="B37" s="119" t="n">
        <x:f>SUM(B28:M28)</x:f>
        <x:v>4320</x:v>
      </x:c>
      <x:c r="C37" s="119" t="n">
        <x:f>SUM(N28:Y28)</x:f>
        <x:v>30844.799999999996</x:v>
      </x:c>
      <x:c r="D37" s="119" t="n">
        <x:f>SUM(Z28:AK28)</x:f>
        <x:v>73693.79999999999</x:v>
      </x:c>
      <x:c r="E37" s="98"/>
      <x:c r="F37" s="98"/>
      <x:c r="G37" s="98"/>
      <x:c r="H37" s="98"/>
      <x:c r="I37" s="98"/>
      <x:c r="J37" s="98"/>
      <x:c r="K37" s="98"/>
      <x:c r="L37" s="98"/>
      <x:c r="M37" s="98"/>
      <x:c r="N37" s="98"/>
      <x:c r="O37" s="98"/>
      <x:c r="P37" s="98"/>
      <x:c r="Q37" s="98"/>
      <x:c r="R37" s="98"/>
      <x:c r="S37" s="98"/>
      <x:c r="T37" s="98"/>
      <x:c r="U37" s="98"/>
      <x:c r="V37" s="98"/>
      <x:c r="W37" s="98"/>
      <x:c r="X37" s="98"/>
      <x:c r="Y37" s="98"/>
      <x:c r="Z37" s="98"/>
      <x:c r="AA37" s="98"/>
      <x:c r="AB37" s="98"/>
      <x:c r="AC37" s="98"/>
      <x:c r="AD37" s="98"/>
      <x:c r="AE37" s="98"/>
      <x:c r="AF37" s="98"/>
      <x:c r="AG37" s="98"/>
      <x:c r="AH37" s="98"/>
      <x:c r="AI37" s="98"/>
      <x:c r="AJ37" s="98"/>
      <x:c r="AK37" s="98"/>
    </x:row>
    <x:row r="38">
      <x:c r="A38" s="111" t="str">
        <x:v>Total operating cash cost</x:v>
      </x:c>
      <x:c r="B38" s="112" t="n">
        <x:f>SUM(B29:M29)</x:f>
        <x:v>42319.999992</x:v>
      </x:c>
      <x:c r="C38" s="112" t="n">
        <x:f>SUM(N29:Y29)</x:f>
        <x:v>289444.80000000005</x:v>
      </x:c>
      <x:c r="D38" s="112" t="n">
        <x:f>SUM(Z29:AK29)</x:f>
        <x:v>529693.8</x:v>
      </x:c>
      <x:c r="E38" s="98"/>
      <x:c r="F38" s="98"/>
      <x:c r="G38" s="98"/>
      <x:c r="H38" s="98"/>
      <x:c r="I38" s="98"/>
      <x:c r="J38" s="98"/>
      <x:c r="K38" s="98"/>
      <x:c r="L38" s="98"/>
      <x:c r="M38" s="98"/>
      <x:c r="N38" s="98"/>
      <x:c r="O38" s="98"/>
      <x:c r="P38" s="98"/>
      <x:c r="Q38" s="98"/>
      <x:c r="R38" s="98"/>
      <x:c r="S38" s="98"/>
      <x:c r="T38" s="98"/>
      <x:c r="U38" s="98"/>
      <x:c r="V38" s="98"/>
      <x:c r="W38" s="98"/>
      <x:c r="X38" s="98"/>
      <x:c r="Y38" s="98"/>
      <x:c r="Z38" s="98"/>
      <x:c r="AA38" s="98"/>
      <x:c r="AB38" s="98"/>
      <x:c r="AC38" s="98"/>
      <x:c r="AD38" s="98"/>
      <x:c r="AE38" s="98"/>
      <x:c r="AF38" s="98"/>
      <x:c r="AG38" s="98"/>
      <x:c r="AH38" s="98"/>
      <x:c r="AI38" s="98"/>
      <x:c r="AJ38" s="98"/>
      <x:c r="AK38" s="98"/>
    </x:row>
  </x:sheetData>
  <x:mergeCells>
    <x:mergeCell ref="A1:H1"/>
    <x:mergeCell ref="A2:H2"/>
    <x:mergeCell ref="A12:AK12"/>
    <x:mergeCell ref="A22:AK2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9"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1" hidden="0" customWidth="1"/>
    <x:col min="31" max="31" width="11" hidden="0" customWidth="1"/>
    <x:col min="32" max="32" width="11" hidden="0" customWidth="1"/>
    <x:col min="33" max="33" width="11" hidden="0" customWidth="1"/>
    <x:col min="34" max="34" width="11" hidden="0" customWidth="1"/>
    <x:col min="35" max="35" width="11" hidden="0" customWidth="1"/>
    <x:col min="36" max="36" width="11" hidden="0" customWidth="1"/>
    <x:col min="37" max="37" width="11" hidden="0" customWidth="1"/>
  </x:cols>
  <x:sheetData>
    <x:row r="1" ht="30" customHeight="1">
      <x:c r="A1" s="57" t="str">
        <x:v>Investment &amp; Funding</x:v>
      </x:c>
      <x:c r="B1" s="97"/>
      <x:c r="C1" s="97"/>
      <x:c r="D1" s="97"/>
      <x:c r="E1" s="97"/>
      <x:c r="F1" s="97"/>
      <x:c r="G1" s="97"/>
      <x:c r="H1" s="97"/>
      <x:c r="I1" s="98"/>
      <x:c r="J1" s="98"/>
      <x:c r="K1" s="98"/>
      <x:c r="L1" s="98"/>
      <x:c r="M1" s="98"/>
      <x:c r="N1" s="98"/>
      <x:c r="O1" s="98"/>
      <x:c r="P1" s="98"/>
      <x:c r="Q1" s="98"/>
      <x:c r="R1" s="98"/>
      <x:c r="S1" s="98"/>
      <x:c r="T1" s="98"/>
      <x:c r="U1" s="98"/>
      <x:c r="V1" s="98"/>
      <x:c r="W1" s="98"/>
      <x:c r="X1" s="98"/>
      <x:c r="Y1" s="98"/>
      <x:c r="Z1" s="98"/>
      <x:c r="AA1" s="98"/>
      <x:c r="AB1" s="98"/>
      <x:c r="AC1" s="98"/>
      <x:c r="AD1" s="98"/>
      <x:c r="AE1" s="98"/>
      <x:c r="AF1" s="98"/>
      <x:c r="AG1" s="98"/>
      <x:c r="AH1" s="98"/>
      <x:c r="AI1" s="98"/>
      <x:c r="AJ1" s="98"/>
      <x:c r="AK1" s="98"/>
    </x:row>
    <x:row r="2" ht="22" customHeight="1">
      <x:c r="A2" s="99" t="str">
        <x:v>120k qualifying investment and 200k KfW debt; no additional equity in no-payroll base</x:v>
      </x:c>
      <x:c r="B2" s="99"/>
      <x:c r="C2" s="99"/>
      <x:c r="D2" s="99"/>
      <x:c r="E2" s="99"/>
      <x:c r="F2" s="99"/>
      <x:c r="G2" s="99"/>
      <x:c r="H2" s="99"/>
      <x:c r="I2" s="98"/>
      <x:c r="J2" s="98"/>
      <x:c r="K2" s="98"/>
      <x:c r="L2" s="98"/>
      <x:c r="M2" s="98"/>
      <x:c r="N2" s="98"/>
      <x:c r="O2" s="98"/>
      <x:c r="P2" s="98"/>
      <x:c r="Q2" s="98"/>
      <x:c r="R2" s="98"/>
      <x:c r="S2" s="98"/>
      <x:c r="T2" s="98"/>
      <x:c r="U2" s="98"/>
      <x:c r="V2" s="98"/>
      <x:c r="W2" s="98"/>
      <x:c r="X2" s="98"/>
      <x:c r="Y2" s="98"/>
      <x:c r="Z2" s="98"/>
      <x:c r="AA2" s="98"/>
      <x:c r="AB2" s="98"/>
      <x:c r="AC2" s="98"/>
      <x:c r="AD2" s="98"/>
      <x:c r="AE2" s="98"/>
      <x:c r="AF2" s="98"/>
      <x:c r="AG2" s="98"/>
      <x:c r="AH2" s="98"/>
      <x:c r="AI2" s="98"/>
      <x:c r="AJ2" s="98"/>
      <x:c r="AK2" s="98"/>
    </x:row>
    <x:row r="3">
      <x:c r="A3" s="98"/>
      <x:c r="B3" s="98"/>
      <x:c r="C3" s="98"/>
      <x:c r="D3" s="98"/>
      <x:c r="E3" s="98"/>
      <x:c r="F3" s="98"/>
      <x:c r="G3" s="98"/>
      <x:c r="H3" s="98"/>
      <x:c r="I3" s="98"/>
      <x:c r="J3" s="98"/>
      <x:c r="K3" s="98"/>
      <x:c r="L3" s="98"/>
      <x:c r="M3" s="98"/>
      <x:c r="N3" s="98"/>
      <x:c r="O3" s="98"/>
      <x:c r="P3" s="98"/>
      <x:c r="Q3" s="98"/>
      <x:c r="R3" s="98"/>
      <x:c r="S3" s="98"/>
      <x:c r="T3" s="98"/>
      <x:c r="U3" s="98"/>
      <x:c r="V3" s="98"/>
      <x:c r="W3" s="98"/>
      <x:c r="X3" s="98"/>
      <x:c r="Y3" s="98"/>
      <x:c r="Z3" s="98"/>
      <x:c r="AA3" s="98"/>
      <x:c r="AB3" s="98"/>
      <x:c r="AC3" s="98"/>
      <x:c r="AD3" s="98"/>
      <x:c r="AE3" s="98"/>
      <x:c r="AF3" s="98"/>
      <x:c r="AG3" s="98"/>
      <x:c r="AH3" s="98"/>
      <x:c r="AI3" s="98"/>
      <x:c r="AJ3" s="98"/>
      <x:c r="AK3" s="98"/>
    </x:row>
    <x:row r="4">
      <x:c r="A4" s="114" t="str">
        <x:v>Investment / funding item</x:v>
      </x:c>
      <x:c r="B4" s="115" t="str">
        <x:v>M1</x:v>
      </x:c>
      <x:c r="C4" s="115" t="str">
        <x:v>M2</x:v>
      </x:c>
      <x:c r="D4" s="115" t="str">
        <x:v>M3</x:v>
      </x:c>
      <x:c r="E4" s="115" t="str">
        <x:v>M4</x:v>
      </x:c>
      <x:c r="F4" s="115" t="str">
        <x:v>M5</x:v>
      </x:c>
      <x:c r="G4" s="115" t="str">
        <x:v>M6</x:v>
      </x:c>
      <x:c r="H4" s="115" t="str">
        <x:v>M7</x:v>
      </x:c>
      <x:c r="I4" s="115" t="str">
        <x:v>M8</x:v>
      </x:c>
      <x:c r="J4" s="115" t="str">
        <x:v>M9</x:v>
      </x:c>
      <x:c r="K4" s="115" t="str">
        <x:v>M10</x:v>
      </x:c>
      <x:c r="L4" s="115" t="str">
        <x:v>M11</x:v>
      </x:c>
      <x:c r="M4" s="115" t="str">
        <x:v>M12</x:v>
      </x:c>
      <x:c r="N4" s="115" t="str">
        <x:v>M13</x:v>
      </x:c>
      <x:c r="O4" s="115" t="str">
        <x:v>M14</x:v>
      </x:c>
      <x:c r="P4" s="115" t="str">
        <x:v>M15</x:v>
      </x:c>
      <x:c r="Q4" s="115" t="str">
        <x:v>M16</x:v>
      </x:c>
      <x:c r="R4" s="115" t="str">
        <x:v>M17</x:v>
      </x:c>
      <x:c r="S4" s="115" t="str">
        <x:v>M18</x:v>
      </x:c>
      <x:c r="T4" s="115" t="str">
        <x:v>M19</x:v>
      </x:c>
      <x:c r="U4" s="115" t="str">
        <x:v>M20</x:v>
      </x:c>
      <x:c r="V4" s="115" t="str">
        <x:v>M21</x:v>
      </x:c>
      <x:c r="W4" s="115" t="str">
        <x:v>M22</x:v>
      </x:c>
      <x:c r="X4" s="115" t="str">
        <x:v>M23</x:v>
      </x:c>
      <x:c r="Y4" s="115" t="str">
        <x:v>M24</x:v>
      </x:c>
      <x:c r="Z4" s="115" t="str">
        <x:v>M25</x:v>
      </x:c>
      <x:c r="AA4" s="115" t="str">
        <x:v>M26</x:v>
      </x:c>
      <x:c r="AB4" s="115" t="str">
        <x:v>M27</x:v>
      </x:c>
      <x:c r="AC4" s="115" t="str">
        <x:v>M28</x:v>
      </x:c>
      <x:c r="AD4" s="115" t="str">
        <x:v>M29</x:v>
      </x:c>
      <x:c r="AE4" s="115" t="str">
        <x:v>M30</x:v>
      </x:c>
      <x:c r="AF4" s="115" t="str">
        <x:v>M31</x:v>
      </x:c>
      <x:c r="AG4" s="115" t="str">
        <x:v>M32</x:v>
      </x:c>
      <x:c r="AH4" s="115" t="str">
        <x:v>M33</x:v>
      </x:c>
      <x:c r="AI4" s="115" t="str">
        <x:v>M34</x:v>
      </x:c>
      <x:c r="AJ4" s="115" t="str">
        <x:v>M35</x:v>
      </x:c>
      <x:c r="AK4" s="116" t="str">
        <x:v>M36</x:v>
      </x:c>
    </x:row>
    <x:row r="5">
      <x:c r="A5" s="98" t="str">
        <x:v>External software / IP milestones</x:v>
      </x:c>
      <x:c r="B5" s="107" t="n">
        <x:v>20000</x:v>
      </x:c>
      <x:c r="C5" s="107" t="n">
        <x:v>0</x:v>
      </x:c>
      <x:c r="D5" s="107" t="n">
        <x:v>20000</x:v>
      </x:c>
      <x:c r="E5" s="107" t="n">
        <x:v>0</x:v>
      </x:c>
      <x:c r="F5" s="107" t="n">
        <x:v>20000</x:v>
      </x:c>
      <x:c r="G5" s="107" t="n">
        <x:v>0</x:v>
      </x:c>
      <x:c r="H5" s="107" t="n">
        <x:v>20000</x:v>
      </x:c>
      <x:c r="I5" s="107" t="n">
        <x:v>0</x:v>
      </x:c>
      <x:c r="J5" s="107" t="n">
        <x:v>15000</x:v>
      </x:c>
      <x:c r="K5" s="107" t="n">
        <x:v>0</x:v>
      </x:c>
      <x:c r="L5" s="107" t="n">
        <x:v>15000</x:v>
      </x:c>
      <x:c r="M5" s="107" t="n">
        <x:v>0</x:v>
      </x:c>
      <x:c r="N5" s="107" t="n">
        <x:v>0</x:v>
      </x:c>
      <x:c r="O5" s="107" t="n">
        <x:v>0</x:v>
      </x:c>
      <x:c r="P5" s="107" t="n">
        <x:v>0</x:v>
      </x:c>
      <x:c r="Q5" s="107" t="n">
        <x:v>0</x:v>
      </x:c>
      <x:c r="R5" s="107" t="n">
        <x:v>0</x:v>
      </x:c>
      <x:c r="S5" s="107" t="n">
        <x:v>0</x:v>
      </x:c>
      <x:c r="T5" s="107" t="n">
        <x:v>0</x:v>
      </x:c>
      <x:c r="U5" s="107" t="n">
        <x:v>0</x:v>
      </x:c>
      <x:c r="V5" s="107" t="n">
        <x:v>0</x:v>
      </x:c>
      <x:c r="W5" s="107" t="n">
        <x:v>0</x:v>
      </x:c>
      <x:c r="X5" s="107" t="n">
        <x:v>0</x:v>
      </x:c>
      <x:c r="Y5" s="107" t="n">
        <x:v>0</x:v>
      </x:c>
      <x:c r="Z5" s="107" t="n">
        <x:v>0</x:v>
      </x:c>
      <x:c r="AA5" s="107" t="n">
        <x:v>0</x:v>
      </x:c>
      <x:c r="AB5" s="107" t="n">
        <x:v>0</x:v>
      </x:c>
      <x:c r="AC5" s="107" t="n">
        <x:v>0</x:v>
      </x:c>
      <x:c r="AD5" s="107" t="n">
        <x:v>0</x:v>
      </x:c>
      <x:c r="AE5" s="107" t="n">
        <x:v>0</x:v>
      </x:c>
      <x:c r="AF5" s="107" t="n">
        <x:v>0</x:v>
      </x:c>
      <x:c r="AG5" s="107" t="n">
        <x:v>0</x:v>
      </x:c>
      <x:c r="AH5" s="107" t="n">
        <x:v>0</x:v>
      </x:c>
      <x:c r="AI5" s="107" t="n">
        <x:v>0</x:v>
      </x:c>
      <x:c r="AJ5" s="107" t="n">
        <x:v>0</x:v>
      </x:c>
      <x:c r="AK5" s="107" t="n">
        <x:v>0</x:v>
      </x:c>
    </x:row>
    <x:row r="6">
      <x:c r="A6" s="98" t="str">
        <x:v>Hardware</x:v>
      </x:c>
      <x:c r="B6" s="107" t="n">
        <x:v>6000</x:v>
      </x:c>
      <x:c r="C6" s="107" t="n">
        <x:v>0</x:v>
      </x:c>
      <x:c r="D6" s="107" t="n">
        <x:v>0</x:v>
      </x:c>
      <x:c r="E6" s="107" t="n">
        <x:v>4000</x:v>
      </x:c>
      <x:c r="F6" s="107" t="n">
        <x:v>0</x:v>
      </x:c>
      <x:c r="G6" s="107" t="n">
        <x:v>0</x:v>
      </x:c>
      <x:c r="H6" s="107" t="n">
        <x:v>0</x:v>
      </x:c>
      <x:c r="I6" s="107" t="n">
        <x:v>0</x:v>
      </x:c>
      <x:c r="J6" s="107" t="n">
        <x:v>0</x:v>
      </x:c>
      <x:c r="K6" s="107" t="n">
        <x:v>0</x:v>
      </x:c>
      <x:c r="L6" s="107" t="n">
        <x:v>0</x:v>
      </x:c>
      <x:c r="M6" s="107" t="n">
        <x:v>0</x:v>
      </x:c>
      <x:c r="N6" s="107" t="n">
        <x:v>0</x:v>
      </x:c>
      <x:c r="O6" s="107" t="n">
        <x:v>0</x:v>
      </x:c>
      <x:c r="P6" s="107" t="n">
        <x:v>0</x:v>
      </x:c>
      <x:c r="Q6" s="107" t="n">
        <x:v>0</x:v>
      </x:c>
      <x:c r="R6" s="107" t="n">
        <x:v>0</x:v>
      </x:c>
      <x:c r="S6" s="107" t="n">
        <x:v>0</x:v>
      </x:c>
      <x:c r="T6" s="107" t="n">
        <x:v>0</x:v>
      </x:c>
      <x:c r="U6" s="107" t="n">
        <x:v>0</x:v>
      </x:c>
      <x:c r="V6" s="107" t="n">
        <x:v>0</x:v>
      </x:c>
      <x:c r="W6" s="107" t="n">
        <x:v>0</x:v>
      </x:c>
      <x:c r="X6" s="107" t="n">
        <x:v>0</x:v>
      </x:c>
      <x:c r="Y6" s="107" t="n">
        <x:v>0</x:v>
      </x:c>
      <x:c r="Z6" s="107" t="n">
        <x:v>0</x:v>
      </x:c>
      <x:c r="AA6" s="107" t="n">
        <x:v>0</x:v>
      </x:c>
      <x:c r="AB6" s="107" t="n">
        <x:v>0</x:v>
      </x:c>
      <x:c r="AC6" s="107" t="n">
        <x:v>0</x:v>
      </x:c>
      <x:c r="AD6" s="107" t="n">
        <x:v>0</x:v>
      </x:c>
      <x:c r="AE6" s="107" t="n">
        <x:v>0</x:v>
      </x:c>
      <x:c r="AF6" s="107" t="n">
        <x:v>0</x:v>
      </x:c>
      <x:c r="AG6" s="107" t="n">
        <x:v>0</x:v>
      </x:c>
      <x:c r="AH6" s="107" t="n">
        <x:v>0</x:v>
      </x:c>
      <x:c r="AI6" s="107" t="n">
        <x:v>0</x:v>
      </x:c>
      <x:c r="AJ6" s="107" t="n">
        <x:v>0</x:v>
      </x:c>
      <x:c r="AK6" s="107" t="n">
        <x:v>0</x:v>
      </x:c>
    </x:row>
    <x:row r="7">
      <x:c r="A7" s="124" t="str">
        <x:v>Total investment cash</x:v>
      </x:c>
      <x:c r="B7" s="125" t="n">
        <x:f>SUM(B5:B6)</x:f>
        <x:v>26000</x:v>
      </x:c>
      <x:c r="C7" s="125" t="n">
        <x:f>SUM(C5:C6)</x:f>
        <x:v>0</x:v>
      </x:c>
      <x:c r="D7" s="125" t="n">
        <x:f>SUM(D5:D6)</x:f>
        <x:v>20000</x:v>
      </x:c>
      <x:c r="E7" s="125" t="n">
        <x:f>SUM(E5:E6)</x:f>
        <x:v>4000</x:v>
      </x:c>
      <x:c r="F7" s="125" t="n">
        <x:f>SUM(F5:F6)</x:f>
        <x:v>20000</x:v>
      </x:c>
      <x:c r="G7" s="125" t="n">
        <x:f>SUM(G5:G6)</x:f>
        <x:v>0</x:v>
      </x:c>
      <x:c r="H7" s="125" t="n">
        <x:f>SUM(H5:H6)</x:f>
        <x:v>20000</x:v>
      </x:c>
      <x:c r="I7" s="125" t="n">
        <x:f>SUM(I5:I6)</x:f>
        <x:v>0</x:v>
      </x:c>
      <x:c r="J7" s="125" t="n">
        <x:f>SUM(J5:J6)</x:f>
        <x:v>15000</x:v>
      </x:c>
      <x:c r="K7" s="125" t="n">
        <x:f>SUM(K5:K6)</x:f>
        <x:v>0</x:v>
      </x:c>
      <x:c r="L7" s="125" t="n">
        <x:f>SUM(L5:L6)</x:f>
        <x:v>15000</x:v>
      </x:c>
      <x:c r="M7" s="125" t="n">
        <x:f>SUM(M5:M6)</x:f>
        <x:v>0</x:v>
      </x:c>
      <x:c r="N7" s="125" t="n">
        <x:f>SUM(N5:N6)</x:f>
        <x:v>0</x:v>
      </x:c>
      <x:c r="O7" s="125" t="n">
        <x:f>SUM(O5:O6)</x:f>
        <x:v>0</x:v>
      </x:c>
      <x:c r="P7" s="125" t="n">
        <x:f>SUM(P5:P6)</x:f>
        <x:v>0</x:v>
      </x:c>
      <x:c r="Q7" s="125" t="n">
        <x:f>SUM(Q5:Q6)</x:f>
        <x:v>0</x:v>
      </x:c>
      <x:c r="R7" s="125" t="n">
        <x:f>SUM(R5:R6)</x:f>
        <x:v>0</x:v>
      </x:c>
      <x:c r="S7" s="125" t="n">
        <x:f>SUM(S5:S6)</x:f>
        <x:v>0</x:v>
      </x:c>
      <x:c r="T7" s="125" t="n">
        <x:f>SUM(T5:T6)</x:f>
        <x:v>0</x:v>
      </x:c>
      <x:c r="U7" s="125" t="n">
        <x:f>SUM(U5:U6)</x:f>
        <x:v>0</x:v>
      </x:c>
      <x:c r="V7" s="125" t="n">
        <x:f>SUM(V5:V6)</x:f>
        <x:v>0</x:v>
      </x:c>
      <x:c r="W7" s="125" t="n">
        <x:f>SUM(W5:W6)</x:f>
        <x:v>0</x:v>
      </x:c>
      <x:c r="X7" s="125" t="n">
        <x:f>SUM(X5:X6)</x:f>
        <x:v>0</x:v>
      </x:c>
      <x:c r="Y7" s="125" t="n">
        <x:f>SUM(Y5:Y6)</x:f>
        <x:v>0</x:v>
      </x:c>
      <x:c r="Z7" s="125" t="n">
        <x:f>SUM(Z5:Z6)</x:f>
        <x:v>0</x:v>
      </x:c>
      <x:c r="AA7" s="125" t="n">
        <x:f>SUM(AA5:AA6)</x:f>
        <x:v>0</x:v>
      </x:c>
      <x:c r="AB7" s="125" t="n">
        <x:f>SUM(AB5:AB6)</x:f>
        <x:v>0</x:v>
      </x:c>
      <x:c r="AC7" s="125" t="n">
        <x:f>SUM(AC5:AC6)</x:f>
        <x:v>0</x:v>
      </x:c>
      <x:c r="AD7" s="125" t="n">
        <x:f>SUM(AD5:AD6)</x:f>
        <x:v>0</x:v>
      </x:c>
      <x:c r="AE7" s="125" t="n">
        <x:f>SUM(AE5:AE6)</x:f>
        <x:v>0</x:v>
      </x:c>
      <x:c r="AF7" s="125" t="n">
        <x:f>SUM(AF5:AF6)</x:f>
        <x:v>0</x:v>
      </x:c>
      <x:c r="AG7" s="125" t="n">
        <x:f>SUM(AG5:AG6)</x:f>
        <x:v>0</x:v>
      </x:c>
      <x:c r="AH7" s="125" t="n">
        <x:f>SUM(AH5:AH6)</x:f>
        <x:v>0</x:v>
      </x:c>
      <x:c r="AI7" s="125" t="n">
        <x:f>SUM(AI5:AI6)</x:f>
        <x:v>0</x:v>
      </x:c>
      <x:c r="AJ7" s="125" t="n">
        <x:f>SUM(AJ5:AJ6)</x:f>
        <x:v>0</x:v>
      </x:c>
      <x:c r="AK7" s="125" t="n">
        <x:f>SUM(AK5:AK6)</x:f>
        <x:v>0</x:v>
      </x:c>
    </x:row>
    <x:row r="8">
      <x:c r="A8" s="98" t="str"/>
      <x:c r="B8" s="108"/>
      <x:c r="C8" s="108"/>
      <x:c r="D8" s="108"/>
      <x:c r="E8" s="108"/>
      <x:c r="F8" s="108"/>
      <x:c r="G8" s="108"/>
      <x:c r="H8" s="108"/>
      <x:c r="I8" s="108"/>
      <x:c r="J8" s="108"/>
      <x:c r="K8" s="108"/>
      <x:c r="L8" s="108"/>
      <x:c r="M8" s="108"/>
      <x:c r="N8" s="108"/>
      <x:c r="O8" s="108"/>
      <x:c r="P8" s="108"/>
      <x:c r="Q8" s="108"/>
      <x:c r="R8" s="108"/>
      <x:c r="S8" s="108"/>
      <x:c r="T8" s="108"/>
      <x:c r="U8" s="108"/>
      <x:c r="V8" s="108"/>
      <x:c r="W8" s="108"/>
      <x:c r="X8" s="108"/>
      <x:c r="Y8" s="108"/>
      <x:c r="Z8" s="108"/>
      <x:c r="AA8" s="108"/>
      <x:c r="AB8" s="108"/>
      <x:c r="AC8" s="108"/>
      <x:c r="AD8" s="108"/>
      <x:c r="AE8" s="108"/>
      <x:c r="AF8" s="108"/>
      <x:c r="AG8" s="108"/>
      <x:c r="AH8" s="108"/>
      <x:c r="AI8" s="108"/>
      <x:c r="AJ8" s="108"/>
      <x:c r="AK8" s="108"/>
    </x:row>
    <x:row r="9">
      <x:c r="A9" s="98"/>
      <x:c r="B9" s="108"/>
      <x:c r="C9" s="108"/>
      <x:c r="D9" s="108"/>
      <x:c r="E9" s="108"/>
      <x:c r="F9" s="108"/>
      <x:c r="G9" s="108"/>
      <x:c r="H9" s="108"/>
      <x:c r="I9" s="108"/>
      <x:c r="J9" s="108"/>
      <x:c r="K9" s="108"/>
      <x:c r="L9" s="108"/>
      <x:c r="M9" s="108"/>
      <x:c r="N9" s="108"/>
      <x:c r="O9" s="108"/>
      <x:c r="P9" s="108"/>
      <x:c r="Q9" s="108"/>
      <x:c r="R9" s="108"/>
      <x:c r="S9" s="108"/>
      <x:c r="T9" s="108"/>
      <x:c r="U9" s="108"/>
      <x:c r="V9" s="108"/>
      <x:c r="W9" s="108"/>
      <x:c r="X9" s="108"/>
      <x:c r="Y9" s="108"/>
      <x:c r="Z9" s="108"/>
      <x:c r="AA9" s="108"/>
      <x:c r="AB9" s="108"/>
      <x:c r="AC9" s="108"/>
      <x:c r="AD9" s="108"/>
      <x:c r="AE9" s="108"/>
      <x:c r="AF9" s="108"/>
      <x:c r="AG9" s="108"/>
      <x:c r="AH9" s="108"/>
      <x:c r="AI9" s="108"/>
      <x:c r="AJ9" s="108"/>
      <x:c r="AK9" s="108"/>
    </x:row>
    <x:row r="10">
      <x:c r="A10" s="98" t="str">
        <x:v>KfW draw</x:v>
      </x:c>
      <x:c r="B10" s="107" t="n">
        <x:v>200000</x:v>
      </x:c>
      <x:c r="C10" s="107" t="n">
        <x:v>0</x:v>
      </x:c>
      <x:c r="D10" s="107" t="n">
        <x:v>0</x:v>
      </x:c>
      <x:c r="E10" s="107" t="n">
        <x:v>0</x:v>
      </x:c>
      <x:c r="F10" s="107" t="n">
        <x:v>0</x:v>
      </x:c>
      <x:c r="G10" s="107" t="n">
        <x:v>0</x:v>
      </x:c>
      <x:c r="H10" s="107" t="n">
        <x:v>0</x:v>
      </x:c>
      <x:c r="I10" s="107" t="n">
        <x:v>0</x:v>
      </x:c>
      <x:c r="J10" s="107" t="n">
        <x:v>0</x:v>
      </x:c>
      <x:c r="K10" s="107" t="n">
        <x:v>0</x:v>
      </x:c>
      <x:c r="L10" s="107" t="n">
        <x:v>0</x:v>
      </x:c>
      <x:c r="M10" s="107" t="n">
        <x:v>0</x:v>
      </x:c>
      <x:c r="N10" s="107" t="n">
        <x:v>0</x:v>
      </x:c>
      <x:c r="O10" s="107" t="n">
        <x:v>0</x:v>
      </x:c>
      <x:c r="P10" s="107" t="n">
        <x:v>0</x:v>
      </x:c>
      <x:c r="Q10" s="107" t="n">
        <x:v>0</x:v>
      </x:c>
      <x:c r="R10" s="107" t="n">
        <x:v>0</x:v>
      </x:c>
      <x:c r="S10" s="107" t="n">
        <x:v>0</x:v>
      </x:c>
      <x:c r="T10" s="107" t="n">
        <x:v>0</x:v>
      </x:c>
      <x:c r="U10" s="107" t="n">
        <x:v>0</x:v>
      </x:c>
      <x:c r="V10" s="107" t="n">
        <x:v>0</x:v>
      </x:c>
      <x:c r="W10" s="107" t="n">
        <x:v>0</x:v>
      </x:c>
      <x:c r="X10" s="107" t="n">
        <x:v>0</x:v>
      </x:c>
      <x:c r="Y10" s="107" t="n">
        <x:v>0</x:v>
      </x:c>
      <x:c r="Z10" s="107" t="n">
        <x:v>0</x:v>
      </x:c>
      <x:c r="AA10" s="107" t="n">
        <x:v>0</x:v>
      </x:c>
      <x:c r="AB10" s="107" t="n">
        <x:v>0</x:v>
      </x:c>
      <x:c r="AC10" s="107" t="n">
        <x:v>0</x:v>
      </x:c>
      <x:c r="AD10" s="107" t="n">
        <x:v>0</x:v>
      </x:c>
      <x:c r="AE10" s="107" t="n">
        <x:v>0</x:v>
      </x:c>
      <x:c r="AF10" s="107" t="n">
        <x:v>0</x:v>
      </x:c>
      <x:c r="AG10" s="107" t="n">
        <x:v>0</x:v>
      </x:c>
      <x:c r="AH10" s="107" t="n">
        <x:v>0</x:v>
      </x:c>
      <x:c r="AI10" s="107" t="n">
        <x:v>0</x:v>
      </x:c>
      <x:c r="AJ10" s="107" t="n">
        <x:v>0</x:v>
      </x:c>
      <x:c r="AK10" s="107" t="n">
        <x:v>0</x:v>
      </x:c>
    </x:row>
    <x:row r="11">
      <x:c r="A11" s="98" t="str">
        <x:v>Founder equity / capital reserve</x:v>
      </x:c>
      <x:c r="B11" s="107" t="n">
        <x:v>0</x:v>
      </x:c>
      <x:c r="C11" s="107" t="n">
        <x:v>0</x:v>
      </x:c>
      <x:c r="D11" s="107" t="n">
        <x:v>0</x:v>
      </x:c>
      <x:c r="E11" s="107" t="n">
        <x:v>0</x:v>
      </x:c>
      <x:c r="F11" s="107" t="n">
        <x:v>0</x:v>
      </x:c>
      <x:c r="G11" s="107" t="n">
        <x:v>0</x:v>
      </x:c>
      <x:c r="H11" s="107" t="n">
        <x:v>0</x:v>
      </x:c>
      <x:c r="I11" s="107" t="n">
        <x:v>0</x:v>
      </x:c>
      <x:c r="J11" s="107" t="n">
        <x:v>0</x:v>
      </x:c>
      <x:c r="K11" s="107" t="n">
        <x:v>0</x:v>
      </x:c>
      <x:c r="L11" s="107" t="n">
        <x:v>0</x:v>
      </x:c>
      <x:c r="M11" s="107" t="n">
        <x:v>0</x:v>
      </x:c>
      <x:c r="N11" s="107" t="n">
        <x:v>0</x:v>
      </x:c>
      <x:c r="O11" s="107" t="n">
        <x:v>0</x:v>
      </x:c>
      <x:c r="P11" s="107" t="n">
        <x:v>0</x:v>
      </x:c>
      <x:c r="Q11" s="107" t="n">
        <x:v>0</x:v>
      </x:c>
      <x:c r="R11" s="107" t="n">
        <x:v>0</x:v>
      </x:c>
      <x:c r="S11" s="107" t="n">
        <x:v>0</x:v>
      </x:c>
      <x:c r="T11" s="107" t="n">
        <x:v>0</x:v>
      </x:c>
      <x:c r="U11" s="107" t="n">
        <x:v>0</x:v>
      </x:c>
      <x:c r="V11" s="107" t="n">
        <x:v>0</x:v>
      </x:c>
      <x:c r="W11" s="107" t="n">
        <x:v>0</x:v>
      </x:c>
      <x:c r="X11" s="107" t="n">
        <x:v>0</x:v>
      </x:c>
      <x:c r="Y11" s="107" t="n">
        <x:v>0</x:v>
      </x:c>
      <x:c r="Z11" s="107" t="n">
        <x:v>0</x:v>
      </x:c>
      <x:c r="AA11" s="107" t="n">
        <x:v>0</x:v>
      </x:c>
      <x:c r="AB11" s="107" t="n">
        <x:v>0</x:v>
      </x:c>
      <x:c r="AC11" s="107" t="n">
        <x:v>0</x:v>
      </x:c>
      <x:c r="AD11" s="107" t="n">
        <x:v>0</x:v>
      </x:c>
      <x:c r="AE11" s="107" t="n">
        <x:v>0</x:v>
      </x:c>
      <x:c r="AF11" s="107" t="n">
        <x:v>0</x:v>
      </x:c>
      <x:c r="AG11" s="107" t="n">
        <x:v>0</x:v>
      </x:c>
      <x:c r="AH11" s="107" t="n">
        <x:v>0</x:v>
      </x:c>
      <x:c r="AI11" s="107" t="n">
        <x:v>0</x:v>
      </x:c>
      <x:c r="AJ11" s="107" t="n">
        <x:v>0</x:v>
      </x:c>
      <x:c r="AK11" s="107" t="n">
        <x:v>0</x:v>
      </x:c>
    </x:row>
    <x:row r="12">
      <x:c r="A12" s="124" t="str">
        <x:v>Total financing cash</x:v>
      </x:c>
      <x:c r="B12" s="125" t="n">
        <x:f>SUM(B10:B11)</x:f>
        <x:v>200000</x:v>
      </x:c>
      <x:c r="C12" s="125" t="n">
        <x:f>SUM(C10:C11)</x:f>
        <x:v>0</x:v>
      </x:c>
      <x:c r="D12" s="125" t="n">
        <x:f>SUM(D10:D11)</x:f>
        <x:v>0</x:v>
      </x:c>
      <x:c r="E12" s="125" t="n">
        <x:f>SUM(E10:E11)</x:f>
        <x:v>0</x:v>
      </x:c>
      <x:c r="F12" s="125" t="n">
        <x:f>SUM(F10:F11)</x:f>
        <x:v>0</x:v>
      </x:c>
      <x:c r="G12" s="125" t="n">
        <x:f>SUM(G10:G11)</x:f>
        <x:v>0</x:v>
      </x:c>
      <x:c r="H12" s="125" t="n">
        <x:f>SUM(H10:H11)</x:f>
        <x:v>0</x:v>
      </x:c>
      <x:c r="I12" s="125" t="n">
        <x:f>SUM(I10:I11)</x:f>
        <x:v>0</x:v>
      </x:c>
      <x:c r="J12" s="125" t="n">
        <x:f>SUM(J10:J11)</x:f>
        <x:v>0</x:v>
      </x:c>
      <x:c r="K12" s="125" t="n">
        <x:f>SUM(K10:K11)</x:f>
        <x:v>0</x:v>
      </x:c>
      <x:c r="L12" s="125" t="n">
        <x:f>SUM(L10:L11)</x:f>
        <x:v>0</x:v>
      </x:c>
      <x:c r="M12" s="125" t="n">
        <x:f>SUM(M10:M11)</x:f>
        <x:v>0</x:v>
      </x:c>
      <x:c r="N12" s="125" t="n">
        <x:f>SUM(N10:N11)</x:f>
        <x:v>0</x:v>
      </x:c>
      <x:c r="O12" s="125" t="n">
        <x:f>SUM(O10:O11)</x:f>
        <x:v>0</x:v>
      </x:c>
      <x:c r="P12" s="125" t="n">
        <x:f>SUM(P10:P11)</x:f>
        <x:v>0</x:v>
      </x:c>
      <x:c r="Q12" s="125" t="n">
        <x:f>SUM(Q10:Q11)</x:f>
        <x:v>0</x:v>
      </x:c>
      <x:c r="R12" s="125" t="n">
        <x:f>SUM(R10:R11)</x:f>
        <x:v>0</x:v>
      </x:c>
      <x:c r="S12" s="125" t="n">
        <x:f>SUM(S10:S11)</x:f>
        <x:v>0</x:v>
      </x:c>
      <x:c r="T12" s="125" t="n">
        <x:f>SUM(T10:T11)</x:f>
        <x:v>0</x:v>
      </x:c>
      <x:c r="U12" s="125" t="n">
        <x:f>SUM(U10:U11)</x:f>
        <x:v>0</x:v>
      </x:c>
      <x:c r="V12" s="125" t="n">
        <x:f>SUM(V10:V11)</x:f>
        <x:v>0</x:v>
      </x:c>
      <x:c r="W12" s="125" t="n">
        <x:f>SUM(W10:W11)</x:f>
        <x:v>0</x:v>
      </x:c>
      <x:c r="X12" s="125" t="n">
        <x:f>SUM(X10:X11)</x:f>
        <x:v>0</x:v>
      </x:c>
      <x:c r="Y12" s="125" t="n">
        <x:f>SUM(Y10:Y11)</x:f>
        <x:v>0</x:v>
      </x:c>
      <x:c r="Z12" s="125" t="n">
        <x:f>SUM(Z10:Z11)</x:f>
        <x:v>0</x:v>
      </x:c>
      <x:c r="AA12" s="125" t="n">
        <x:f>SUM(AA10:AA11)</x:f>
        <x:v>0</x:v>
      </x:c>
      <x:c r="AB12" s="125" t="n">
        <x:f>SUM(AB10:AB11)</x:f>
        <x:v>0</x:v>
      </x:c>
      <x:c r="AC12" s="125" t="n">
        <x:f>SUM(AC10:AC11)</x:f>
        <x:v>0</x:v>
      </x:c>
      <x:c r="AD12" s="125" t="n">
        <x:f>SUM(AD10:AD11)</x:f>
        <x:v>0</x:v>
      </x:c>
      <x:c r="AE12" s="125" t="n">
        <x:f>SUM(AE10:AE11)</x:f>
        <x:v>0</x:v>
      </x:c>
      <x:c r="AF12" s="125" t="n">
        <x:f>SUM(AF10:AF11)</x:f>
        <x:v>0</x:v>
      </x:c>
      <x:c r="AG12" s="125" t="n">
        <x:f>SUM(AG10:AG11)</x:f>
        <x:v>0</x:v>
      </x:c>
      <x:c r="AH12" s="125" t="n">
        <x:f>SUM(AH10:AH11)</x:f>
        <x:v>0</x:v>
      </x:c>
      <x:c r="AI12" s="125" t="n">
        <x:f>SUM(AI10:AI11)</x:f>
        <x:v>0</x:v>
      </x:c>
      <x:c r="AJ12" s="125" t="n">
        <x:f>SUM(AJ10:AJ11)</x:f>
        <x:v>0</x:v>
      </x:c>
      <x:c r="AK12" s="125" t="n">
        <x:f>SUM(AK10:AK11)</x:f>
        <x:v>0</x:v>
      </x:c>
    </x:row>
    <x:row r="13">
      <x:c r="A13" s="98"/>
      <x:c r="B13" s="108"/>
      <x:c r="C13" s="108"/>
      <x:c r="D13" s="108"/>
      <x:c r="E13" s="108"/>
      <x:c r="F13" s="108"/>
      <x:c r="G13" s="108"/>
      <x:c r="H13" s="108"/>
      <x:c r="I13" s="108"/>
      <x:c r="J13" s="108"/>
      <x:c r="K13" s="108"/>
      <x:c r="L13" s="108"/>
      <x:c r="M13" s="108"/>
      <x:c r="N13" s="108"/>
      <x:c r="O13" s="108"/>
      <x:c r="P13" s="108"/>
      <x:c r="Q13" s="108"/>
      <x:c r="R13" s="108"/>
      <x:c r="S13" s="108"/>
      <x:c r="T13" s="108"/>
      <x:c r="U13" s="108"/>
      <x:c r="V13" s="108"/>
      <x:c r="W13" s="108"/>
      <x:c r="X13" s="108"/>
      <x:c r="Y13" s="108"/>
      <x:c r="Z13" s="108"/>
      <x:c r="AA13" s="108"/>
      <x:c r="AB13" s="108"/>
      <x:c r="AC13" s="108"/>
      <x:c r="AD13" s="108"/>
      <x:c r="AE13" s="108"/>
      <x:c r="AF13" s="108"/>
      <x:c r="AG13" s="108"/>
      <x:c r="AH13" s="108"/>
      <x:c r="AI13" s="108"/>
      <x:c r="AJ13" s="108"/>
      <x:c r="AK13" s="108"/>
    </x:row>
    <x:row r="14">
      <x:c r="A14" s="98"/>
      <x:c r="B14" s="108"/>
      <x:c r="C14" s="108"/>
      <x:c r="D14" s="108"/>
      <x:c r="E14" s="108"/>
      <x:c r="F14" s="108"/>
      <x:c r="G14" s="108"/>
      <x:c r="H14" s="108"/>
      <x:c r="I14" s="108"/>
      <x:c r="J14" s="108"/>
      <x:c r="K14" s="108"/>
      <x:c r="L14" s="108"/>
      <x:c r="M14" s="108"/>
      <x:c r="N14" s="108"/>
      <x:c r="O14" s="108"/>
      <x:c r="P14" s="108"/>
      <x:c r="Q14" s="108"/>
      <x:c r="R14" s="108"/>
      <x:c r="S14" s="108"/>
      <x:c r="T14" s="108"/>
      <x:c r="U14" s="108"/>
      <x:c r="V14" s="108"/>
      <x:c r="W14" s="108"/>
      <x:c r="X14" s="108"/>
      <x:c r="Y14" s="108"/>
      <x:c r="Z14" s="108"/>
      <x:c r="AA14" s="108"/>
      <x:c r="AB14" s="108"/>
      <x:c r="AC14" s="108"/>
      <x:c r="AD14" s="108"/>
      <x:c r="AE14" s="108"/>
      <x:c r="AF14" s="108"/>
      <x:c r="AG14" s="108"/>
      <x:c r="AH14" s="108"/>
      <x:c r="AI14" s="108"/>
      <x:c r="AJ14" s="108"/>
      <x:c r="AK14" s="108"/>
    </x:row>
    <x:row r="15" ht="22" customHeight="1">
      <x:c r="A15" s="113" t="str">
        <x:v>Debt schedule</x:v>
      </x:c>
      <x:c r="B15" s="123"/>
      <x:c r="C15" s="123"/>
      <x:c r="D15" s="123"/>
      <x:c r="E15" s="123"/>
      <x:c r="F15" s="123"/>
      <x:c r="G15" s="123"/>
      <x:c r="H15" s="123"/>
      <x:c r="I15" s="123"/>
      <x:c r="J15" s="123"/>
      <x:c r="K15" s="123"/>
      <x:c r="L15" s="123"/>
      <x:c r="M15" s="123"/>
      <x:c r="N15" s="123"/>
      <x:c r="O15" s="123"/>
      <x:c r="P15" s="123"/>
      <x:c r="Q15" s="123"/>
      <x:c r="R15" s="123"/>
      <x:c r="S15" s="123"/>
      <x:c r="T15" s="123"/>
      <x:c r="U15" s="123"/>
      <x:c r="V15" s="123"/>
      <x:c r="W15" s="123"/>
      <x:c r="X15" s="123"/>
      <x:c r="Y15" s="123"/>
      <x:c r="Z15" s="123"/>
      <x:c r="AA15" s="123"/>
      <x:c r="AB15" s="123"/>
      <x:c r="AC15" s="123"/>
      <x:c r="AD15" s="123"/>
      <x:c r="AE15" s="123"/>
      <x:c r="AF15" s="123"/>
      <x:c r="AG15" s="123"/>
      <x:c r="AH15" s="123"/>
      <x:c r="AI15" s="123"/>
      <x:c r="AJ15" s="123"/>
      <x:c r="AK15" s="123"/>
    </x:row>
    <x:row r="16">
      <x:c r="A16" s="98" t="str">
        <x:v>Opening principal</x:v>
      </x:c>
      <x:c r="B16" s="108" t="n">
        <x:f>'Assumptions'!$B$5</x:f>
        <x:v>200000</x:v>
      </x:c>
      <x:c r="C16" s="108" t="n">
        <x:f>B19</x:f>
        <x:v>200000</x:v>
      </x:c>
      <x:c r="D16" s="108" t="n">
        <x:f>C19</x:f>
        <x:v>200000</x:v>
      </x:c>
      <x:c r="E16" s="108" t="n">
        <x:f>D19</x:f>
        <x:v>200000</x:v>
      </x:c>
      <x:c r="F16" s="108" t="n">
        <x:f>E19</x:f>
        <x:v>200000</x:v>
      </x:c>
      <x:c r="G16" s="108" t="n">
        <x:f>F19</x:f>
        <x:v>200000</x:v>
      </x:c>
      <x:c r="H16" s="108" t="n">
        <x:f>G19</x:f>
        <x:v>200000</x:v>
      </x:c>
      <x:c r="I16" s="108" t="n">
        <x:f>H19</x:f>
        <x:v>200000</x:v>
      </x:c>
      <x:c r="J16" s="108" t="n">
        <x:f>I19</x:f>
        <x:v>200000</x:v>
      </x:c>
      <x:c r="K16" s="108" t="n">
        <x:f>J19</x:f>
        <x:v>200000</x:v>
      </x:c>
      <x:c r="L16" s="108" t="n">
        <x:f>K19</x:f>
        <x:v>200000</x:v>
      </x:c>
      <x:c r="M16" s="108" t="n">
        <x:f>L19</x:f>
        <x:v>200000</x:v>
      </x:c>
      <x:c r="N16" s="108" t="n">
        <x:f>M19</x:f>
        <x:v>200000</x:v>
      </x:c>
      <x:c r="O16" s="108" t="n">
        <x:f>N19</x:f>
        <x:v>200000</x:v>
      </x:c>
      <x:c r="P16" s="108" t="n">
        <x:f>O19</x:f>
        <x:v>200000</x:v>
      </x:c>
      <x:c r="Q16" s="108" t="n">
        <x:f>P19</x:f>
        <x:v>200000</x:v>
      </x:c>
      <x:c r="R16" s="108" t="n">
        <x:f>Q19</x:f>
        <x:v>200000</x:v>
      </x:c>
      <x:c r="S16" s="108" t="n">
        <x:f>R19</x:f>
        <x:v>200000</x:v>
      </x:c>
      <x:c r="T16" s="108" t="n">
        <x:f>S19</x:f>
        <x:v>200000</x:v>
      </x:c>
      <x:c r="U16" s="108" t="n">
        <x:f>T19</x:f>
        <x:v>200000</x:v>
      </x:c>
      <x:c r="V16" s="108" t="n">
        <x:f>U19</x:f>
        <x:v>200000</x:v>
      </x:c>
      <x:c r="W16" s="108" t="n">
        <x:f>V19</x:f>
        <x:v>200000</x:v>
      </x:c>
      <x:c r="X16" s="108" t="n">
        <x:f>W19</x:f>
        <x:v>200000</x:v>
      </x:c>
      <x:c r="Y16" s="108" t="n">
        <x:f>X19</x:f>
        <x:v>200000</x:v>
      </x:c>
      <x:c r="Z16" s="108" t="n">
        <x:f>Y19</x:f>
        <x:v>200000</x:v>
      </x:c>
      <x:c r="AA16" s="108" t="n">
        <x:f>Z19</x:f>
        <x:v>197916.66666666666</x:v>
      </x:c>
      <x:c r="AB16" s="108" t="n">
        <x:f>AA19</x:f>
        <x:v>195833.3333333333</x:v>
      </x:c>
      <x:c r="AC16" s="108" t="n">
        <x:f>AB19</x:f>
        <x:v>193749.99999999997</x:v>
      </x:c>
      <x:c r="AD16" s="108" t="n">
        <x:f>AC19</x:f>
        <x:v>191666.66666666663</x:v>
      </x:c>
      <x:c r="AE16" s="108" t="n">
        <x:f>AD19</x:f>
        <x:v>189583.33333333328</x:v>
      </x:c>
      <x:c r="AF16" s="108" t="n">
        <x:f>AE19</x:f>
        <x:v>187499.99999999994</x:v>
      </x:c>
      <x:c r="AG16" s="108" t="n">
        <x:f>AF19</x:f>
        <x:v>185416.6666666666</x:v>
      </x:c>
      <x:c r="AH16" s="108" t="n">
        <x:f>AG19</x:f>
        <x:v>183333.33333333326</x:v>
      </x:c>
      <x:c r="AI16" s="108" t="n">
        <x:f>AH19</x:f>
        <x:v>181249.9999999999</x:v>
      </x:c>
      <x:c r="AJ16" s="108" t="n">
        <x:f>AI19</x:f>
        <x:v>179166.66666666657</x:v>
      </x:c>
      <x:c r="AK16" s="108" t="n">
        <x:f>AJ19</x:f>
        <x:v>177083.33333333323</x:v>
      </x:c>
    </x:row>
    <x:row r="17">
      <x:c r="A17" s="98" t="str">
        <x:v>Interest</x:v>
      </x:c>
      <x:c r="B17" s="108" t="n">
        <x:f>B16*'Assumptions'!$B$7/12</x:f>
        <x:v>753.3333333333334</x:v>
      </x:c>
      <x:c r="C17" s="108" t="n">
        <x:f>C16*'Assumptions'!$B$7/12</x:f>
        <x:v>753.3333333333334</x:v>
      </x:c>
      <x:c r="D17" s="108" t="n">
        <x:f>D16*'Assumptions'!$B$7/12</x:f>
        <x:v>753.3333333333334</x:v>
      </x:c>
      <x:c r="E17" s="108" t="n">
        <x:f>E16*'Assumptions'!$B$7/12</x:f>
        <x:v>753.3333333333334</x:v>
      </x:c>
      <x:c r="F17" s="108" t="n">
        <x:f>F16*'Assumptions'!$B$7/12</x:f>
        <x:v>753.3333333333334</x:v>
      </x:c>
      <x:c r="G17" s="108" t="n">
        <x:f>G16*'Assumptions'!$B$7/12</x:f>
        <x:v>753.3333333333334</x:v>
      </x:c>
      <x:c r="H17" s="108" t="n">
        <x:f>H16*'Assumptions'!$B$7/12</x:f>
        <x:v>753.3333333333334</x:v>
      </x:c>
      <x:c r="I17" s="108" t="n">
        <x:f>I16*'Assumptions'!$B$7/12</x:f>
        <x:v>753.3333333333334</x:v>
      </x:c>
      <x:c r="J17" s="108" t="n">
        <x:f>J16*'Assumptions'!$B$7/12</x:f>
        <x:v>753.3333333333334</x:v>
      </x:c>
      <x:c r="K17" s="108" t="n">
        <x:f>K16*'Assumptions'!$B$7/12</x:f>
        <x:v>753.3333333333334</x:v>
      </x:c>
      <x:c r="L17" s="108" t="n">
        <x:f>L16*'Assumptions'!$B$7/12</x:f>
        <x:v>753.3333333333334</x:v>
      </x:c>
      <x:c r="M17" s="108" t="n">
        <x:f>M16*'Assumptions'!$B$7/12</x:f>
        <x:v>753.3333333333334</x:v>
      </x:c>
      <x:c r="N17" s="108" t="n">
        <x:f>N16*'Assumptions'!$B$7/12</x:f>
        <x:v>753.3333333333334</x:v>
      </x:c>
      <x:c r="O17" s="108" t="n">
        <x:f>O16*'Assumptions'!$B$7/12</x:f>
        <x:v>753.3333333333334</x:v>
      </x:c>
      <x:c r="P17" s="108" t="n">
        <x:f>P16*'Assumptions'!$B$7/12</x:f>
        <x:v>753.3333333333334</x:v>
      </x:c>
      <x:c r="Q17" s="108" t="n">
        <x:f>Q16*'Assumptions'!$B$7/12</x:f>
        <x:v>753.3333333333334</x:v>
      </x:c>
      <x:c r="R17" s="108" t="n">
        <x:f>R16*'Assumptions'!$B$7/12</x:f>
        <x:v>753.3333333333334</x:v>
      </x:c>
      <x:c r="S17" s="108" t="n">
        <x:f>S16*'Assumptions'!$B$7/12</x:f>
        <x:v>753.3333333333334</x:v>
      </x:c>
      <x:c r="T17" s="108" t="n">
        <x:f>T16*'Assumptions'!$B$7/12</x:f>
        <x:v>753.3333333333334</x:v>
      </x:c>
      <x:c r="U17" s="108" t="n">
        <x:f>U16*'Assumptions'!$B$7/12</x:f>
        <x:v>753.3333333333334</x:v>
      </x:c>
      <x:c r="V17" s="108" t="n">
        <x:f>V16*'Assumptions'!$B$7/12</x:f>
        <x:v>753.3333333333334</x:v>
      </x:c>
      <x:c r="W17" s="108" t="n">
        <x:f>W16*'Assumptions'!$B$7/12</x:f>
        <x:v>753.3333333333334</x:v>
      </x:c>
      <x:c r="X17" s="108" t="n">
        <x:f>X16*'Assumptions'!$B$7/12</x:f>
        <x:v>753.3333333333334</x:v>
      </x:c>
      <x:c r="Y17" s="108" t="n">
        <x:f>Y16*'Assumptions'!$B$7/12</x:f>
        <x:v>753.3333333333334</x:v>
      </x:c>
      <x:c r="Z17" s="108" t="n">
        <x:f>Z16*'Assumptions'!$B$7/12</x:f>
        <x:v>753.3333333333334</x:v>
      </x:c>
      <x:c r="AA17" s="108" t="n">
        <x:f>AA16*'Assumptions'!$B$7/12</x:f>
        <x:v>745.486111111111</x:v>
      </x:c>
      <x:c r="AB17" s="108" t="n">
        <x:f>AB16*'Assumptions'!$B$7/12</x:f>
        <x:v>737.6388888888888</x:v>
      </x:c>
      <x:c r="AC17" s="108" t="n">
        <x:f>AC16*'Assumptions'!$B$7/12</x:f>
        <x:v>729.7916666666665</x:v>
      </x:c>
      <x:c r="AD17" s="108" t="n">
        <x:f>AD16*'Assumptions'!$B$7/12</x:f>
        <x:v>721.9444444444442</x:v>
      </x:c>
      <x:c r="AE17" s="108" t="n">
        <x:f>AE16*'Assumptions'!$B$7/12</x:f>
        <x:v>714.0972222222221</x:v>
      </x:c>
      <x:c r="AF17" s="108" t="n">
        <x:f>AF16*'Assumptions'!$B$7/12</x:f>
        <x:v>706.2499999999997</x:v>
      </x:c>
      <x:c r="AG17" s="108" t="n">
        <x:f>AG16*'Assumptions'!$B$7/12</x:f>
        <x:v>698.4027777777775</x:v>
      </x:c>
      <x:c r="AH17" s="108" t="n">
        <x:f>AH16*'Assumptions'!$B$7/12</x:f>
        <x:v>690.5555555555552</x:v>
      </x:c>
      <x:c r="AI17" s="108" t="n">
        <x:f>AI16*'Assumptions'!$B$7/12</x:f>
        <x:v>682.708333333333</x:v>
      </x:c>
      <x:c r="AJ17" s="108" t="n">
        <x:f>AJ16*'Assumptions'!$B$7/12</x:f>
        <x:v>674.8611111111107</x:v>
      </x:c>
      <x:c r="AK17" s="108" t="n">
        <x:f>AK16*'Assumptions'!$B$7/12</x:f>
        <x:v>667.0138888888885</x:v>
      </x:c>
    </x:row>
    <x:row r="18">
      <x:c r="A18" s="98" t="str">
        <x:v>Principal repayment</x:v>
      </x:c>
      <x:c r="B18" s="108" t="n">
        <x:f>IF(1&gt;'Assumptions'!$B$9,MIN('Assumptions'!$B$10,B16),0)</x:f>
        <x:v>0</x:v>
      </x:c>
      <x:c r="C18" s="108" t="n">
        <x:f>IF(2&gt;'Assumptions'!$B$9,MIN('Assumptions'!$B$10,C16),0)</x:f>
        <x:v>0</x:v>
      </x:c>
      <x:c r="D18" s="108" t="n">
        <x:f>IF(3&gt;'Assumptions'!$B$9,MIN('Assumptions'!$B$10,D16),0)</x:f>
        <x:v>0</x:v>
      </x:c>
      <x:c r="E18" s="108" t="n">
        <x:f>IF(4&gt;'Assumptions'!$B$9,MIN('Assumptions'!$B$10,E16),0)</x:f>
        <x:v>0</x:v>
      </x:c>
      <x:c r="F18" s="108" t="n">
        <x:f>IF(5&gt;'Assumptions'!$B$9,MIN('Assumptions'!$B$10,F16),0)</x:f>
        <x:v>0</x:v>
      </x:c>
      <x:c r="G18" s="108" t="n">
        <x:f>IF(6&gt;'Assumptions'!$B$9,MIN('Assumptions'!$B$10,G16),0)</x:f>
        <x:v>0</x:v>
      </x:c>
      <x:c r="H18" s="108" t="n">
        <x:f>IF(7&gt;'Assumptions'!$B$9,MIN('Assumptions'!$B$10,H16),0)</x:f>
        <x:v>0</x:v>
      </x:c>
      <x:c r="I18" s="108" t="n">
        <x:f>IF(8&gt;'Assumptions'!$B$9,MIN('Assumptions'!$B$10,I16),0)</x:f>
        <x:v>0</x:v>
      </x:c>
      <x:c r="J18" s="108" t="n">
        <x:f>IF(9&gt;'Assumptions'!$B$9,MIN('Assumptions'!$B$10,J16),0)</x:f>
        <x:v>0</x:v>
      </x:c>
      <x:c r="K18" s="108" t="n">
        <x:f>IF(10&gt;'Assumptions'!$B$9,MIN('Assumptions'!$B$10,K16),0)</x:f>
        <x:v>0</x:v>
      </x:c>
      <x:c r="L18" s="108" t="n">
        <x:f>IF(11&gt;'Assumptions'!$B$9,MIN('Assumptions'!$B$10,L16),0)</x:f>
        <x:v>0</x:v>
      </x:c>
      <x:c r="M18" s="108" t="n">
        <x:f>IF(12&gt;'Assumptions'!$B$9,MIN('Assumptions'!$B$10,M16),0)</x:f>
        <x:v>0</x:v>
      </x:c>
      <x:c r="N18" s="108" t="n">
        <x:f>IF(13&gt;'Assumptions'!$B$9,MIN('Assumptions'!$B$10,N16),0)</x:f>
        <x:v>0</x:v>
      </x:c>
      <x:c r="O18" s="108" t="n">
        <x:f>IF(14&gt;'Assumptions'!$B$9,MIN('Assumptions'!$B$10,O16),0)</x:f>
        <x:v>0</x:v>
      </x:c>
      <x:c r="P18" s="108" t="n">
        <x:f>IF(15&gt;'Assumptions'!$B$9,MIN('Assumptions'!$B$10,P16),0)</x:f>
        <x:v>0</x:v>
      </x:c>
      <x:c r="Q18" s="108" t="n">
        <x:f>IF(16&gt;'Assumptions'!$B$9,MIN('Assumptions'!$B$10,Q16),0)</x:f>
        <x:v>0</x:v>
      </x:c>
      <x:c r="R18" s="108" t="n">
        <x:f>IF(17&gt;'Assumptions'!$B$9,MIN('Assumptions'!$B$10,R16),0)</x:f>
        <x:v>0</x:v>
      </x:c>
      <x:c r="S18" s="108" t="n">
        <x:f>IF(18&gt;'Assumptions'!$B$9,MIN('Assumptions'!$B$10,S16),0)</x:f>
        <x:v>0</x:v>
      </x:c>
      <x:c r="T18" s="108" t="n">
        <x:f>IF(19&gt;'Assumptions'!$B$9,MIN('Assumptions'!$B$10,T16),0)</x:f>
        <x:v>0</x:v>
      </x:c>
      <x:c r="U18" s="108" t="n">
        <x:f>IF(20&gt;'Assumptions'!$B$9,MIN('Assumptions'!$B$10,U16),0)</x:f>
        <x:v>0</x:v>
      </x:c>
      <x:c r="V18" s="108" t="n">
        <x:f>IF(21&gt;'Assumptions'!$B$9,MIN('Assumptions'!$B$10,V16),0)</x:f>
        <x:v>0</x:v>
      </x:c>
      <x:c r="W18" s="108" t="n">
        <x:f>IF(22&gt;'Assumptions'!$B$9,MIN('Assumptions'!$B$10,W16),0)</x:f>
        <x:v>0</x:v>
      </x:c>
      <x:c r="X18" s="108" t="n">
        <x:f>IF(23&gt;'Assumptions'!$B$9,MIN('Assumptions'!$B$10,X16),0)</x:f>
        <x:v>0</x:v>
      </x:c>
      <x:c r="Y18" s="108" t="n">
        <x:f>IF(24&gt;'Assumptions'!$B$9,MIN('Assumptions'!$B$10,Y16),0)</x:f>
        <x:v>0</x:v>
      </x:c>
      <x:c r="Z18" s="108" t="n">
        <x:f>IF(25&gt;'Assumptions'!$B$9,MIN('Assumptions'!$B$10,Z16),0)</x:f>
        <x:v>2083.3333333333335</x:v>
      </x:c>
      <x:c r="AA18" s="108" t="n">
        <x:f>IF(26&gt;'Assumptions'!$B$9,MIN('Assumptions'!$B$10,AA16),0)</x:f>
        <x:v>2083.3333333333335</x:v>
      </x:c>
      <x:c r="AB18" s="108" t="n">
        <x:f>IF(27&gt;'Assumptions'!$B$9,MIN('Assumptions'!$B$10,AB16),0)</x:f>
        <x:v>2083.3333333333335</x:v>
      </x:c>
      <x:c r="AC18" s="108" t="n">
        <x:f>IF(28&gt;'Assumptions'!$B$9,MIN('Assumptions'!$B$10,AC16),0)</x:f>
        <x:v>2083.3333333333335</x:v>
      </x:c>
      <x:c r="AD18" s="108" t="n">
        <x:f>IF(29&gt;'Assumptions'!$B$9,MIN('Assumptions'!$B$10,AD16),0)</x:f>
        <x:v>2083.3333333333335</x:v>
      </x:c>
      <x:c r="AE18" s="108" t="n">
        <x:f>IF(30&gt;'Assumptions'!$B$9,MIN('Assumptions'!$B$10,AE16),0)</x:f>
        <x:v>2083.3333333333335</x:v>
      </x:c>
      <x:c r="AF18" s="108" t="n">
        <x:f>IF(31&gt;'Assumptions'!$B$9,MIN('Assumptions'!$B$10,AF16),0)</x:f>
        <x:v>2083.3333333333335</x:v>
      </x:c>
      <x:c r="AG18" s="108" t="n">
        <x:f>IF(32&gt;'Assumptions'!$B$9,MIN('Assumptions'!$B$10,AG16),0)</x:f>
        <x:v>2083.3333333333335</x:v>
      </x:c>
      <x:c r="AH18" s="108" t="n">
        <x:f>IF(33&gt;'Assumptions'!$B$9,MIN('Assumptions'!$B$10,AH16),0)</x:f>
        <x:v>2083.3333333333335</x:v>
      </x:c>
      <x:c r="AI18" s="108" t="n">
        <x:f>IF(34&gt;'Assumptions'!$B$9,MIN('Assumptions'!$B$10,AI16),0)</x:f>
        <x:v>2083.3333333333335</x:v>
      </x:c>
      <x:c r="AJ18" s="108" t="n">
        <x:f>IF(35&gt;'Assumptions'!$B$9,MIN('Assumptions'!$B$10,AJ16),0)</x:f>
        <x:v>2083.3333333333335</x:v>
      </x:c>
      <x:c r="AK18" s="108" t="n">
        <x:f>IF(36&gt;'Assumptions'!$B$9,MIN('Assumptions'!$B$10,AK16),0)</x:f>
        <x:v>2083.3333333333335</x:v>
      </x:c>
    </x:row>
    <x:row r="19">
      <x:c r="A19" s="124" t="str">
        <x:v>Closing principal</x:v>
      </x:c>
      <x:c r="B19" s="125" t="n">
        <x:f>B16-B18</x:f>
        <x:v>200000</x:v>
      </x:c>
      <x:c r="C19" s="125" t="n">
        <x:f>C16-C18</x:f>
        <x:v>200000</x:v>
      </x:c>
      <x:c r="D19" s="125" t="n">
        <x:f>D16-D18</x:f>
        <x:v>200000</x:v>
      </x:c>
      <x:c r="E19" s="125" t="n">
        <x:f>E16-E18</x:f>
        <x:v>200000</x:v>
      </x:c>
      <x:c r="F19" s="125" t="n">
        <x:f>F16-F18</x:f>
        <x:v>200000</x:v>
      </x:c>
      <x:c r="G19" s="125" t="n">
        <x:f>G16-G18</x:f>
        <x:v>200000</x:v>
      </x:c>
      <x:c r="H19" s="125" t="n">
        <x:f>H16-H18</x:f>
        <x:v>200000</x:v>
      </x:c>
      <x:c r="I19" s="125" t="n">
        <x:f>I16-I18</x:f>
        <x:v>200000</x:v>
      </x:c>
      <x:c r="J19" s="125" t="n">
        <x:f>J16-J18</x:f>
        <x:v>200000</x:v>
      </x:c>
      <x:c r="K19" s="125" t="n">
        <x:f>K16-K18</x:f>
        <x:v>200000</x:v>
      </x:c>
      <x:c r="L19" s="125" t="n">
        <x:f>L16-L18</x:f>
        <x:v>200000</x:v>
      </x:c>
      <x:c r="M19" s="125" t="n">
        <x:f>M16-M18</x:f>
        <x:v>200000</x:v>
      </x:c>
      <x:c r="N19" s="125" t="n">
        <x:f>N16-N18</x:f>
        <x:v>200000</x:v>
      </x:c>
      <x:c r="O19" s="125" t="n">
        <x:f>O16-O18</x:f>
        <x:v>200000</x:v>
      </x:c>
      <x:c r="P19" s="125" t="n">
        <x:f>P16-P18</x:f>
        <x:v>200000</x:v>
      </x:c>
      <x:c r="Q19" s="125" t="n">
        <x:f>Q16-Q18</x:f>
        <x:v>200000</x:v>
      </x:c>
      <x:c r="R19" s="125" t="n">
        <x:f>R16-R18</x:f>
        <x:v>200000</x:v>
      </x:c>
      <x:c r="S19" s="125" t="n">
        <x:f>S16-S18</x:f>
        <x:v>200000</x:v>
      </x:c>
      <x:c r="T19" s="125" t="n">
        <x:f>T16-T18</x:f>
        <x:v>200000</x:v>
      </x:c>
      <x:c r="U19" s="125" t="n">
        <x:f>U16-U18</x:f>
        <x:v>200000</x:v>
      </x:c>
      <x:c r="V19" s="125" t="n">
        <x:f>V16-V18</x:f>
        <x:v>200000</x:v>
      </x:c>
      <x:c r="W19" s="125" t="n">
        <x:f>W16-W18</x:f>
        <x:v>200000</x:v>
      </x:c>
      <x:c r="X19" s="125" t="n">
        <x:f>X16-X18</x:f>
        <x:v>200000</x:v>
      </x:c>
      <x:c r="Y19" s="125" t="n">
        <x:f>Y16-Y18</x:f>
        <x:v>200000</x:v>
      </x:c>
      <x:c r="Z19" s="125" t="n">
        <x:f>Z16-Z18</x:f>
        <x:v>197916.66666666666</x:v>
      </x:c>
      <x:c r="AA19" s="125" t="n">
        <x:f>AA16-AA18</x:f>
        <x:v>195833.3333333333</x:v>
      </x:c>
      <x:c r="AB19" s="125" t="n">
        <x:f>AB16-AB18</x:f>
        <x:v>193749.99999999997</x:v>
      </x:c>
      <x:c r="AC19" s="125" t="n">
        <x:f>AC16-AC18</x:f>
        <x:v>191666.66666666663</x:v>
      </x:c>
      <x:c r="AD19" s="125" t="n">
        <x:f>AD16-AD18</x:f>
        <x:v>189583.33333333328</x:v>
      </x:c>
      <x:c r="AE19" s="125" t="n">
        <x:f>AE16-AE18</x:f>
        <x:v>187499.99999999994</x:v>
      </x:c>
      <x:c r="AF19" s="125" t="n">
        <x:f>AF16-AF18</x:f>
        <x:v>185416.6666666666</x:v>
      </x:c>
      <x:c r="AG19" s="125" t="n">
        <x:f>AG16-AG18</x:f>
        <x:v>183333.33333333326</x:v>
      </x:c>
      <x:c r="AH19" s="125" t="n">
        <x:f>AH16-AH18</x:f>
        <x:v>181249.9999999999</x:v>
      </x:c>
      <x:c r="AI19" s="125" t="n">
        <x:f>AI16-AI18</x:f>
        <x:v>179166.66666666657</x:v>
      </x:c>
      <x:c r="AJ19" s="125" t="n">
        <x:f>AJ16-AJ18</x:f>
        <x:v>177083.33333333323</x:v>
      </x:c>
      <x:c r="AK19" s="125" t="n">
        <x:f>AK16-AK18</x:f>
        <x:v>174999.99999999988</x:v>
      </x:c>
    </x:row>
    <x:row r="20">
      <x:c r="A20" s="98"/>
      <x:c r="B20" s="98"/>
      <x:c r="C20" s="98"/>
      <x:c r="D20" s="98"/>
      <x:c r="E20" s="98"/>
      <x:c r="F20" s="98"/>
      <x:c r="G20" s="98"/>
      <x:c r="H20" s="98"/>
      <x:c r="I20" s="98"/>
      <x:c r="J20" s="98"/>
      <x:c r="K20" s="98"/>
      <x:c r="L20" s="98"/>
      <x:c r="M20" s="98"/>
      <x:c r="N20" s="98"/>
      <x:c r="O20" s="98"/>
      <x:c r="P20" s="98"/>
      <x:c r="Q20" s="98"/>
      <x:c r="R20" s="98"/>
      <x:c r="S20" s="98"/>
      <x:c r="T20" s="98"/>
      <x:c r="U20" s="98"/>
      <x:c r="V20" s="98"/>
      <x:c r="W20" s="98"/>
      <x:c r="X20" s="98"/>
      <x:c r="Y20" s="98"/>
      <x:c r="Z20" s="98"/>
      <x:c r="AA20" s="98"/>
      <x:c r="AB20" s="98"/>
      <x:c r="AC20" s="98"/>
      <x:c r="AD20" s="98"/>
      <x:c r="AE20" s="98"/>
      <x:c r="AF20" s="98"/>
      <x:c r="AG20" s="98"/>
      <x:c r="AH20" s="98"/>
      <x:c r="AI20" s="98"/>
      <x:c r="AJ20" s="98"/>
      <x:c r="AK20" s="98"/>
    </x:row>
    <x:row r="21">
      <x:c r="A21" s="98"/>
      <x:c r="B21" s="98"/>
      <x:c r="C21" s="98"/>
      <x:c r="D21" s="98"/>
      <x:c r="E21" s="98"/>
      <x:c r="F21" s="98"/>
      <x:c r="G21" s="98"/>
      <x:c r="H21" s="98"/>
      <x:c r="I21" s="98"/>
      <x:c r="J21" s="98"/>
      <x:c r="K21" s="98"/>
      <x:c r="L21" s="98"/>
      <x:c r="M21" s="98"/>
      <x:c r="N21" s="98"/>
      <x:c r="O21" s="98"/>
      <x:c r="P21" s="98"/>
      <x:c r="Q21" s="98"/>
      <x:c r="R21" s="98"/>
      <x:c r="S21" s="98"/>
      <x:c r="T21" s="98"/>
      <x:c r="U21" s="98"/>
      <x:c r="V21" s="98"/>
      <x:c r="W21" s="98"/>
      <x:c r="X21" s="98"/>
      <x:c r="Y21" s="98"/>
      <x:c r="Z21" s="98"/>
      <x:c r="AA21" s="98"/>
      <x:c r="AB21" s="98"/>
      <x:c r="AC21" s="98"/>
      <x:c r="AD21" s="98"/>
      <x:c r="AE21" s="98"/>
      <x:c r="AF21" s="98"/>
      <x:c r="AG21" s="98"/>
      <x:c r="AH21" s="98"/>
      <x:c r="AI21" s="98"/>
      <x:c r="AJ21" s="98"/>
      <x:c r="AK21" s="98"/>
    </x:row>
    <x:row r="22">
      <x:c r="A22" s="114" t="str">
        <x:v>Annual / funding summary</x:v>
      </x:c>
      <x:c r="B22" s="115" t="str">
        <x:v>Year 1</x:v>
      </x:c>
      <x:c r="C22" s="115" t="str">
        <x:v>Year 2</x:v>
      </x:c>
      <x:c r="D22" s="116" t="str">
        <x:v>Year 3</x:v>
      </x:c>
      <x:c r="E22" s="98"/>
      <x:c r="F22" s="98"/>
      <x:c r="G22" s="98"/>
      <x:c r="H22" s="98"/>
      <x:c r="I22" s="98"/>
      <x:c r="J22" s="98"/>
      <x:c r="K22" s="98"/>
      <x:c r="L22" s="98"/>
      <x:c r="M22" s="98"/>
      <x:c r="N22" s="98"/>
      <x:c r="O22" s="98"/>
      <x:c r="P22" s="98"/>
      <x:c r="Q22" s="98"/>
      <x:c r="R22" s="98"/>
      <x:c r="S22" s="98"/>
      <x:c r="T22" s="98"/>
      <x:c r="U22" s="98"/>
      <x:c r="V22" s="98"/>
      <x:c r="W22" s="98"/>
      <x:c r="X22" s="98"/>
      <x:c r="Y22" s="98"/>
      <x:c r="Z22" s="98"/>
      <x:c r="AA22" s="98"/>
      <x:c r="AB22" s="98"/>
      <x:c r="AC22" s="98"/>
      <x:c r="AD22" s="98"/>
      <x:c r="AE22" s="98"/>
      <x:c r="AF22" s="98"/>
      <x:c r="AG22" s="98"/>
      <x:c r="AH22" s="98"/>
      <x:c r="AI22" s="98"/>
      <x:c r="AJ22" s="98"/>
      <x:c r="AK22" s="98"/>
    </x:row>
    <x:row r="23">
      <x:c r="A23" s="98" t="str">
        <x:v>Investment cash</x:v>
      </x:c>
      <x:c r="B23" s="108" t="n">
        <x:f>SUM(B7:M7)</x:f>
        <x:v>120000</x:v>
      </x:c>
      <x:c r="C23" s="108" t="n">
        <x:f>SUM(N7:Y7)</x:f>
        <x:v>0</x:v>
      </x:c>
      <x:c r="D23" s="108" t="n">
        <x:f>SUM(Z7:AK7)</x:f>
        <x:v>0</x:v>
      </x:c>
      <x:c r="E23" s="98"/>
      <x:c r="F23" s="98"/>
      <x:c r="G23" s="98"/>
      <x:c r="H23" s="98"/>
      <x:c r="I23" s="98"/>
      <x:c r="J23" s="98"/>
      <x:c r="K23" s="98"/>
      <x:c r="L23" s="98"/>
      <x:c r="M23" s="98"/>
      <x:c r="N23" s="98"/>
      <x:c r="O23" s="98"/>
      <x:c r="P23" s="98"/>
      <x:c r="Q23" s="98"/>
      <x:c r="R23" s="98"/>
      <x:c r="S23" s="98"/>
      <x:c r="T23" s="98"/>
      <x:c r="U23" s="98"/>
      <x:c r="V23" s="98"/>
      <x:c r="W23" s="98"/>
      <x:c r="X23" s="98"/>
      <x:c r="Y23" s="98"/>
      <x:c r="Z23" s="98"/>
      <x:c r="AA23" s="98"/>
      <x:c r="AB23" s="98"/>
      <x:c r="AC23" s="98"/>
      <x:c r="AD23" s="98"/>
      <x:c r="AE23" s="98"/>
      <x:c r="AF23" s="98"/>
      <x:c r="AG23" s="98"/>
      <x:c r="AH23" s="98"/>
      <x:c r="AI23" s="98"/>
      <x:c r="AJ23" s="98"/>
      <x:c r="AK23" s="98"/>
    </x:row>
    <x:row r="24">
      <x:c r="A24" s="98" t="str">
        <x:v>KfW funding</x:v>
      </x:c>
      <x:c r="B24" s="108" t="n">
        <x:f>SUM(B10:M10)</x:f>
        <x:v>200000</x:v>
      </x:c>
      <x:c r="C24" s="108" t="n">
        <x:f>SUM(N10:Y10)</x:f>
        <x:v>0</x:v>
      </x:c>
      <x:c r="D24" s="108" t="n">
        <x:f>SUM(Z10:AK10)</x:f>
        <x:v>0</x:v>
      </x:c>
      <x:c r="E24" s="98"/>
      <x:c r="F24" s="98"/>
      <x:c r="G24" s="98"/>
      <x:c r="H24" s="98"/>
      <x:c r="I24" s="98"/>
      <x:c r="J24" s="98"/>
      <x:c r="K24" s="98"/>
      <x:c r="L24" s="98"/>
      <x:c r="M24" s="98"/>
      <x:c r="N24" s="98"/>
      <x:c r="O24" s="98"/>
      <x:c r="P24" s="98"/>
      <x:c r="Q24" s="98"/>
      <x:c r="R24" s="98"/>
      <x:c r="S24" s="98"/>
      <x:c r="T24" s="98"/>
      <x:c r="U24" s="98"/>
      <x:c r="V24" s="98"/>
      <x:c r="W24" s="98"/>
      <x:c r="X24" s="98"/>
      <x:c r="Y24" s="98"/>
      <x:c r="Z24" s="98"/>
      <x:c r="AA24" s="98"/>
      <x:c r="AB24" s="98"/>
      <x:c r="AC24" s="98"/>
      <x:c r="AD24" s="98"/>
      <x:c r="AE24" s="98"/>
      <x:c r="AF24" s="98"/>
      <x:c r="AG24" s="98"/>
      <x:c r="AH24" s="98"/>
      <x:c r="AI24" s="98"/>
      <x:c r="AJ24" s="98"/>
      <x:c r="AK24" s="98"/>
    </x:row>
    <x:row r="25">
      <x:c r="A25" s="98" t="str">
        <x:v>Founder equity</x:v>
      </x:c>
      <x:c r="B25" s="108" t="n">
        <x:f>SUM(B11:M11)</x:f>
        <x:v>0</x:v>
      </x:c>
      <x:c r="C25" s="108" t="n">
        <x:f>SUM(N11:Y11)</x:f>
        <x:v>0</x:v>
      </x:c>
      <x:c r="D25" s="108" t="n">
        <x:f>SUM(Z11:AK11)</x:f>
        <x:v>0</x:v>
      </x:c>
      <x:c r="E25" s="98"/>
      <x:c r="F25" s="98"/>
      <x:c r="G25" s="98"/>
      <x:c r="H25" s="98"/>
      <x:c r="I25" s="98"/>
      <x:c r="J25" s="98"/>
      <x:c r="K25" s="98"/>
      <x:c r="L25" s="98"/>
      <x:c r="M25" s="98"/>
      <x:c r="N25" s="98"/>
      <x:c r="O25" s="98"/>
      <x:c r="P25" s="98"/>
      <x:c r="Q25" s="98"/>
      <x:c r="R25" s="98"/>
      <x:c r="S25" s="98"/>
      <x:c r="T25" s="98"/>
      <x:c r="U25" s="98"/>
      <x:c r="V25" s="98"/>
      <x:c r="W25" s="98"/>
      <x:c r="X25" s="98"/>
      <x:c r="Y25" s="98"/>
      <x:c r="Z25" s="98"/>
      <x:c r="AA25" s="98"/>
      <x:c r="AB25" s="98"/>
      <x:c r="AC25" s="98"/>
      <x:c r="AD25" s="98"/>
      <x:c r="AE25" s="98"/>
      <x:c r="AF25" s="98"/>
      <x:c r="AG25" s="98"/>
      <x:c r="AH25" s="98"/>
      <x:c r="AI25" s="98"/>
      <x:c r="AJ25" s="98"/>
      <x:c r="AK25" s="98"/>
    </x:row>
    <x:row r="26">
      <x:c r="A26" s="98" t="str">
        <x:v>Interest</x:v>
      </x:c>
      <x:c r="B26" s="108" t="n">
        <x:f>SUM(B17:M17)</x:f>
        <x:v>9040</x:v>
      </x:c>
      <x:c r="C26" s="108" t="n">
        <x:f>SUM(N17:Y17)</x:f>
        <x:v>9040</x:v>
      </x:c>
      <x:c r="D26" s="108" t="n">
        <x:f>SUM(Z17:AK17)</x:f>
        <x:v>8522.08333333333</x:v>
      </x:c>
      <x:c r="E26" s="98"/>
      <x:c r="F26" s="98"/>
      <x:c r="G26" s="98"/>
      <x:c r="H26" s="98"/>
      <x:c r="I26" s="98"/>
      <x:c r="J26" s="98"/>
      <x:c r="K26" s="98"/>
      <x:c r="L26" s="98"/>
      <x:c r="M26" s="98"/>
      <x:c r="N26" s="98"/>
      <x:c r="O26" s="98"/>
      <x:c r="P26" s="98"/>
      <x:c r="Q26" s="98"/>
      <x:c r="R26" s="98"/>
      <x:c r="S26" s="98"/>
      <x:c r="T26" s="98"/>
      <x:c r="U26" s="98"/>
      <x:c r="V26" s="98"/>
      <x:c r="W26" s="98"/>
      <x:c r="X26" s="98"/>
      <x:c r="Y26" s="98"/>
      <x:c r="Z26" s="98"/>
      <x:c r="AA26" s="98"/>
      <x:c r="AB26" s="98"/>
      <x:c r="AC26" s="98"/>
      <x:c r="AD26" s="98"/>
      <x:c r="AE26" s="98"/>
      <x:c r="AF26" s="98"/>
      <x:c r="AG26" s="98"/>
      <x:c r="AH26" s="98"/>
      <x:c r="AI26" s="98"/>
      <x:c r="AJ26" s="98"/>
      <x:c r="AK26" s="98"/>
    </x:row>
    <x:row r="27">
      <x:c r="A27" s="98" t="str">
        <x:v>Principal</x:v>
      </x:c>
      <x:c r="B27" s="108" t="n">
        <x:f>SUM(B18:M18)</x:f>
        <x:v>0</x:v>
      </x:c>
      <x:c r="C27" s="108" t="n">
        <x:f>SUM(N18:Y18)</x:f>
        <x:v>0</x:v>
      </x:c>
      <x:c r="D27" s="108" t="n">
        <x:f>SUM(Z18:AK18)</x:f>
        <x:v>24999.999999999996</x:v>
      </x:c>
      <x:c r="E27" s="98"/>
      <x:c r="F27" s="98"/>
      <x:c r="G27" s="98"/>
      <x:c r="H27" s="98"/>
      <x:c r="I27" s="98"/>
      <x:c r="J27" s="98"/>
      <x:c r="K27" s="98"/>
      <x:c r="L27" s="98"/>
      <x:c r="M27" s="98"/>
      <x:c r="N27" s="98"/>
      <x:c r="O27" s="98"/>
      <x:c r="P27" s="98"/>
      <x:c r="Q27" s="98"/>
      <x:c r="R27" s="98"/>
      <x:c r="S27" s="98"/>
      <x:c r="T27" s="98"/>
      <x:c r="U27" s="98"/>
      <x:c r="V27" s="98"/>
      <x:c r="W27" s="98"/>
      <x:c r="X27" s="98"/>
      <x:c r="Y27" s="98"/>
      <x:c r="Z27" s="98"/>
      <x:c r="AA27" s="98"/>
      <x:c r="AB27" s="98"/>
      <x:c r="AC27" s="98"/>
      <x:c r="AD27" s="98"/>
      <x:c r="AE27" s="98"/>
      <x:c r="AF27" s="98"/>
      <x:c r="AG27" s="98"/>
      <x:c r="AH27" s="98"/>
      <x:c r="AI27" s="98"/>
      <x:c r="AJ27" s="98"/>
      <x:c r="AK27" s="98"/>
    </x:row>
  </x:sheetData>
  <x:mergeCells>
    <x:mergeCell ref="A1:H1"/>
    <x:mergeCell ref="A2:H2"/>
    <x:mergeCell ref="A15:AK15"/>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1" hidden="0" customWidth="1"/>
    <x:col min="31" max="31" width="11" hidden="0" customWidth="1"/>
    <x:col min="32" max="32" width="11" hidden="0" customWidth="1"/>
    <x:col min="33" max="33" width="11" hidden="0" customWidth="1"/>
    <x:col min="34" max="34" width="11" hidden="0" customWidth="1"/>
    <x:col min="35" max="35" width="11" hidden="0" customWidth="1"/>
    <x:col min="36" max="36" width="11" hidden="0" customWidth="1"/>
    <x:col min="37" max="37" width="11" hidden="0" customWidth="1"/>
  </x:cols>
  <x:sheetData>
    <x:row r="1" ht="30" customHeight="1">
      <x:c r="A1" s="57" t="str">
        <x:v>Cash Plan</x:v>
      </x:c>
      <x:c r="B1" s="97"/>
      <x:c r="C1" s="97"/>
      <x:c r="D1" s="97"/>
      <x:c r="E1" s="97"/>
      <x:c r="F1" s="97"/>
      <x:c r="G1" s="97"/>
      <x:c r="H1" s="97"/>
      <x:c r="I1" s="167"/>
      <x:c r="J1" s="167"/>
      <x:c r="K1" s="167"/>
      <x:c r="L1" s="167"/>
      <x:c r="M1" s="167"/>
      <x:c r="N1" s="167"/>
      <x:c r="O1" s="167"/>
      <x:c r="P1" s="167"/>
      <x:c r="Q1" s="167"/>
      <x:c r="R1" s="167"/>
      <x:c r="S1" s="167"/>
      <x:c r="T1" s="167"/>
      <x:c r="U1" s="167"/>
      <x:c r="V1" s="167"/>
      <x:c r="W1" s="167"/>
      <x:c r="X1" s="167"/>
      <x:c r="Y1" s="167"/>
      <x:c r="Z1" s="167"/>
      <x:c r="AA1" s="167"/>
      <x:c r="AB1" s="167"/>
      <x:c r="AC1" s="167"/>
      <x:c r="AD1" s="167"/>
      <x:c r="AE1" s="167"/>
      <x:c r="AF1" s="167"/>
      <x:c r="AG1" s="167"/>
      <x:c r="AH1" s="167"/>
      <x:c r="AI1" s="167"/>
      <x:c r="AJ1" s="167"/>
      <x:c r="AK1" s="167"/>
    </x:row>
    <x:row r="2" ht="22" customHeight="1">
      <x:c r="A2" s="99" t="str">
        <x:v>Monthly cash view with one-month SaaS collection lag and no fixed Year-1 founder payroll</x:v>
      </x:c>
      <x:c r="B2" s="99"/>
      <x:c r="C2" s="99"/>
      <x:c r="D2" s="99"/>
      <x:c r="E2" s="99"/>
      <x:c r="F2" s="99"/>
      <x:c r="G2" s="99"/>
      <x:c r="H2" s="99"/>
      <x:c r="I2" s="167"/>
      <x:c r="J2" s="167"/>
      <x:c r="K2" s="167"/>
      <x:c r="L2" s="167"/>
      <x:c r="M2" s="167"/>
      <x:c r="N2" s="167"/>
      <x:c r="O2" s="167"/>
      <x:c r="P2" s="167"/>
      <x:c r="Q2" s="167"/>
      <x:c r="R2" s="167"/>
      <x:c r="S2" s="167"/>
      <x:c r="T2" s="167"/>
      <x:c r="U2" s="167"/>
      <x:c r="V2" s="167"/>
      <x:c r="W2" s="167"/>
      <x:c r="X2" s="167"/>
      <x:c r="Y2" s="167"/>
      <x:c r="Z2" s="167"/>
      <x:c r="AA2" s="167"/>
      <x:c r="AB2" s="167"/>
      <x:c r="AC2" s="167"/>
      <x:c r="AD2" s="167"/>
      <x:c r="AE2" s="167"/>
      <x:c r="AF2" s="167"/>
      <x:c r="AG2" s="167"/>
      <x:c r="AH2" s="167"/>
      <x:c r="AI2" s="167"/>
      <x:c r="AJ2" s="167"/>
      <x:c r="AK2" s="167"/>
    </x:row>
    <x:row r="3">
      <x:c r="A3" s="167"/>
      <x:c r="B3" s="167"/>
      <x:c r="C3" s="167"/>
      <x:c r="D3" s="167"/>
      <x:c r="E3" s="167"/>
      <x:c r="F3" s="167"/>
      <x:c r="G3" s="167"/>
      <x:c r="H3" s="167"/>
      <x:c r="I3" s="167"/>
      <x:c r="J3" s="167"/>
      <x:c r="K3" s="167"/>
      <x:c r="L3" s="167"/>
      <x:c r="M3" s="167"/>
      <x:c r="N3" s="167"/>
      <x:c r="O3" s="167"/>
      <x:c r="P3" s="167"/>
      <x:c r="Q3" s="167"/>
      <x:c r="R3" s="167"/>
      <x:c r="S3" s="167"/>
      <x:c r="T3" s="167"/>
      <x:c r="U3" s="167"/>
      <x:c r="V3" s="167"/>
      <x:c r="W3" s="167"/>
      <x:c r="X3" s="167"/>
      <x:c r="Y3" s="167"/>
      <x:c r="Z3" s="167"/>
      <x:c r="AA3" s="167"/>
      <x:c r="AB3" s="167"/>
      <x:c r="AC3" s="167"/>
      <x:c r="AD3" s="167"/>
      <x:c r="AE3" s="167"/>
      <x:c r="AF3" s="167"/>
      <x:c r="AG3" s="167"/>
      <x:c r="AH3" s="167"/>
      <x:c r="AI3" s="167"/>
      <x:c r="AJ3" s="167"/>
      <x:c r="AK3" s="167"/>
    </x:row>
    <x:row r="4">
      <x:c r="A4" s="114" t="str">
        <x:v>Cash flow item</x:v>
      </x:c>
      <x:c r="B4" s="115" t="str">
        <x:v>M1</x:v>
      </x:c>
      <x:c r="C4" s="115" t="str">
        <x:v>M2</x:v>
      </x:c>
      <x:c r="D4" s="115" t="str">
        <x:v>M3</x:v>
      </x:c>
      <x:c r="E4" s="115" t="str">
        <x:v>M4</x:v>
      </x:c>
      <x:c r="F4" s="115" t="str">
        <x:v>M5</x:v>
      </x:c>
      <x:c r="G4" s="115" t="str">
        <x:v>M6</x:v>
      </x:c>
      <x:c r="H4" s="115" t="str">
        <x:v>M7</x:v>
      </x:c>
      <x:c r="I4" s="115" t="str">
        <x:v>M8</x:v>
      </x:c>
      <x:c r="J4" s="115" t="str">
        <x:v>M9</x:v>
      </x:c>
      <x:c r="K4" s="115" t="str">
        <x:v>M10</x:v>
      </x:c>
      <x:c r="L4" s="115" t="str">
        <x:v>M11</x:v>
      </x:c>
      <x:c r="M4" s="115" t="str">
        <x:v>M12</x:v>
      </x:c>
      <x:c r="N4" s="115" t="str">
        <x:v>M13</x:v>
      </x:c>
      <x:c r="O4" s="115" t="str">
        <x:v>M14</x:v>
      </x:c>
      <x:c r="P4" s="115" t="str">
        <x:v>M15</x:v>
      </x:c>
      <x:c r="Q4" s="115" t="str">
        <x:v>M16</x:v>
      </x:c>
      <x:c r="R4" s="115" t="str">
        <x:v>M17</x:v>
      </x:c>
      <x:c r="S4" s="115" t="str">
        <x:v>M18</x:v>
      </x:c>
      <x:c r="T4" s="115" t="str">
        <x:v>M19</x:v>
      </x:c>
      <x:c r="U4" s="115" t="str">
        <x:v>M20</x:v>
      </x:c>
      <x:c r="V4" s="115" t="str">
        <x:v>M21</x:v>
      </x:c>
      <x:c r="W4" s="115" t="str">
        <x:v>M22</x:v>
      </x:c>
      <x:c r="X4" s="115" t="str">
        <x:v>M23</x:v>
      </x:c>
      <x:c r="Y4" s="115" t="str">
        <x:v>M24</x:v>
      </x:c>
      <x:c r="Z4" s="115" t="str">
        <x:v>M25</x:v>
      </x:c>
      <x:c r="AA4" s="115" t="str">
        <x:v>M26</x:v>
      </x:c>
      <x:c r="AB4" s="115" t="str">
        <x:v>M27</x:v>
      </x:c>
      <x:c r="AC4" s="115" t="str">
        <x:v>M28</x:v>
      </x:c>
      <x:c r="AD4" s="115" t="str">
        <x:v>M29</x:v>
      </x:c>
      <x:c r="AE4" s="115" t="str">
        <x:v>M30</x:v>
      </x:c>
      <x:c r="AF4" s="115" t="str">
        <x:v>M31</x:v>
      </x:c>
      <x:c r="AG4" s="115" t="str">
        <x:v>M32</x:v>
      </x:c>
      <x:c r="AH4" s="115" t="str">
        <x:v>M33</x:v>
      </x:c>
      <x:c r="AI4" s="115" t="str">
        <x:v>M34</x:v>
      </x:c>
      <x:c r="AJ4" s="115" t="str">
        <x:v>M35</x:v>
      </x:c>
      <x:c r="AK4" s="116" t="str">
        <x:v>M36</x:v>
      </x:c>
    </x:row>
    <x:row r="5">
      <x:c r="A5" s="167" t="str">
        <x:v>Beginning cash</x:v>
      </x:c>
      <x:c r="B5" s="168" t="n">
        <x:f>0</x:f>
        <x:v>0</x:v>
      </x:c>
      <x:c r="C5" s="168" t="n">
        <x:f>B20</x:f>
        <x:v>170080.00000066665</x:v>
      </x:c>
      <x:c r="D5" s="168" t="n">
        <x:f>C20</x:f>
        <x:v>166160.0000013333</x:v>
      </x:c>
      <x:c r="E5" s="168" t="n">
        <x:f>D20</x:f>
        <x:v>142240.00000199996</x:v>
      </x:c>
      <x:c r="F5" s="168" t="n">
        <x:f>E20</x:f>
        <x:v>134320.0000026666</x:v>
      </x:c>
      <x:c r="G5" s="168" t="n">
        <x:f>F20</x:f>
        <x:v>110400.00000333328</x:v>
      </x:c>
      <x:c r="H5" s="168" t="n">
        <x:f>G20</x:f>
        <x:v>111210.00000399994</x:v>
      </x:c>
      <x:c r="I5" s="168" t="n">
        <x:f>H20</x:f>
        <x:v>89270.00000466661</x:v>
      </x:c>
      <x:c r="J5" s="168" t="n">
        <x:f>I20</x:f>
        <x:v>92060.00000533328</x:v>
      </x:c>
      <x:c r="K5" s="168" t="n">
        <x:f>J20</x:f>
        <x:v>77100.00000599994</x:v>
      </x:c>
      <x:c r="L5" s="168" t="n">
        <x:f>K20</x:f>
        <x:v>81870.00000666661</x:v>
      </x:c>
      <x:c r="M5" s="168" t="n">
        <x:f>L20</x:f>
        <x:v>68890.00000733328</x:v>
      </x:c>
      <x:c r="N5" s="168" t="n">
        <x:f>M20</x:f>
        <x:v>75640.00000799994</x:v>
      </x:c>
      <x:c r="O5" s="168" t="n">
        <x:f>N20</x:f>
        <x:v>64006.666674666616</x:v>
      </x:c>
      <x:c r="P5" s="168" t="n">
        <x:f>O20</x:f>
        <x:v>57000.73334133328</x:v>
      </x:c>
      <x:c r="Q5" s="168" t="n">
        <x:f>P20</x:f>
        <x:v>52727.20000799995</x:v>
      </x:c>
      <x:c r="R5" s="168" t="n">
        <x:f>Q20</x:f>
        <x:v>46558.666674666616</x:v>
      </x:c>
      <x:c r="S5" s="168" t="n">
        <x:f>R20</x:f>
        <x:v>45017.533341333285</x:v>
      </x:c>
      <x:c r="T5" s="168" t="n">
        <x:f>S20</x:f>
        <x:v>46208.80000799995</x:v>
      </x:c>
      <x:c r="U5" s="168" t="n">
        <x:f>T20</x:f>
        <x:v>45505.06667466661</x:v>
      </x:c>
      <x:c r="V5" s="168" t="n">
        <x:f>U20</x:f>
        <x:v>42828.73334133328</x:v>
      </x:c>
      <x:c r="W5" s="168" t="n">
        <x:f>V20</x:f>
        <x:v>42884.80000799995</x:v>
      </x:c>
      <x:c r="X5" s="168" t="n">
        <x:f>W20</x:f>
        <x:v>41045.86667466661</x:v>
      </x:c>
      <x:c r="Y5" s="168" t="n">
        <x:f>X20</x:f>
        <x:v>43834.33334133328</x:v>
      </x:c>
      <x:c r="Z5" s="168" t="n">
        <x:f>Y20</x:f>
        <x:v>49355.20000799995</x:v>
      </x:c>
      <x:c r="AA5" s="168" t="n">
        <x:f>Z20</x:f>
        <x:v>45347.733341333274</x:v>
      </x:c>
      <x:c r="AB5" s="168" t="n">
        <x:f>AA20</x:f>
        <x:v>45975.51389688883</x:v>
      </x:c>
      <x:c r="AC5" s="168" t="n">
        <x:f>AB20</x:f>
        <x:v>49343.5416746666</x:v>
      </x:c>
      <x:c r="AD5" s="168" t="n">
        <x:f>AC20</x:f>
        <x:v>50051.8166746666</x:v>
      </x:c>
      <x:c r="AE5" s="168" t="n">
        <x:f>AD20</x:f>
        <x:v>53500.338896888825</x:v>
      </x:c>
      <x:c r="AF5" s="168" t="n">
        <x:f>AE20</x:f>
        <x:v>59689.10834133327</x:v>
      </x:c>
      <x:c r="AG5" s="168" t="n">
        <x:f>AF20</x:f>
        <x:v>62618.12500799993</x:v>
      </x:c>
      <x:c r="AH5" s="168" t="n">
        <x:f>AG20</x:f>
        <x:v>68287.38889688882</x:v>
      </x:c>
      <x:c r="AI5" s="168" t="n">
        <x:f>AH20</x:f>
        <x:v>76696.90000799994</x:v>
      </x:c>
      <x:c r="AJ5" s="168" t="n">
        <x:f>AI20</x:f>
        <x:v>87846.65834133327</x:v>
      </x:c>
      <x:c r="AK5" s="168" t="n">
        <x:f>AJ20</x:f>
        <x:v>101736.66389688881</x:v>
      </x:c>
    </x:row>
    <x:row r="6">
      <x:c r="A6" s="167" t="str">
        <x:v>KfW draw</x:v>
      </x:c>
      <x:c r="B6" s="168" t="n">
        <x:f>'Investment &amp; Funding'!B10</x:f>
        <x:v>200000</x:v>
      </x:c>
      <x:c r="C6" s="168" t="n">
        <x:f>'Investment &amp; Funding'!C10</x:f>
        <x:v>0</x:v>
      </x:c>
      <x:c r="D6" s="168" t="n">
        <x:f>'Investment &amp; Funding'!D10</x:f>
        <x:v>0</x:v>
      </x:c>
      <x:c r="E6" s="168" t="n">
        <x:f>'Investment &amp; Funding'!E10</x:f>
        <x:v>0</x:v>
      </x:c>
      <x:c r="F6" s="168" t="n">
        <x:f>'Investment &amp; Funding'!F10</x:f>
        <x:v>0</x:v>
      </x:c>
      <x:c r="G6" s="168" t="n">
        <x:f>'Investment &amp; Funding'!G10</x:f>
        <x:v>0</x:v>
      </x:c>
      <x:c r="H6" s="168" t="n">
        <x:f>'Investment &amp; Funding'!H10</x:f>
        <x:v>0</x:v>
      </x:c>
      <x:c r="I6" s="168" t="n">
        <x:f>'Investment &amp; Funding'!I10</x:f>
        <x:v>0</x:v>
      </x:c>
      <x:c r="J6" s="168" t="n">
        <x:f>'Investment &amp; Funding'!J10</x:f>
        <x:v>0</x:v>
      </x:c>
      <x:c r="K6" s="168" t="n">
        <x:f>'Investment &amp; Funding'!K10</x:f>
        <x:v>0</x:v>
      </x:c>
      <x:c r="L6" s="168" t="n">
        <x:f>'Investment &amp; Funding'!L10</x:f>
        <x:v>0</x:v>
      </x:c>
      <x:c r="M6" s="168" t="n">
        <x:f>'Investment &amp; Funding'!M10</x:f>
        <x:v>0</x:v>
      </x:c>
      <x:c r="N6" s="168" t="n">
        <x:f>'Investment &amp; Funding'!N10</x:f>
        <x:v>0</x:v>
      </x:c>
      <x:c r="O6" s="168" t="n">
        <x:f>'Investment &amp; Funding'!O10</x:f>
        <x:v>0</x:v>
      </x:c>
      <x:c r="P6" s="168" t="n">
        <x:f>'Investment &amp; Funding'!P10</x:f>
        <x:v>0</x:v>
      </x:c>
      <x:c r="Q6" s="168" t="n">
        <x:f>'Investment &amp; Funding'!Q10</x:f>
        <x:v>0</x:v>
      </x:c>
      <x:c r="R6" s="168" t="n">
        <x:f>'Investment &amp; Funding'!R10</x:f>
        <x:v>0</x:v>
      </x:c>
      <x:c r="S6" s="168" t="n">
        <x:f>'Investment &amp; Funding'!S10</x:f>
        <x:v>0</x:v>
      </x:c>
      <x:c r="T6" s="168" t="n">
        <x:f>'Investment &amp; Funding'!T10</x:f>
        <x:v>0</x:v>
      </x:c>
      <x:c r="U6" s="168" t="n">
        <x:f>'Investment &amp; Funding'!U10</x:f>
        <x:v>0</x:v>
      </x:c>
      <x:c r="V6" s="168" t="n">
        <x:f>'Investment &amp; Funding'!V10</x:f>
        <x:v>0</x:v>
      </x:c>
      <x:c r="W6" s="168" t="n">
        <x:f>'Investment &amp; Funding'!W10</x:f>
        <x:v>0</x:v>
      </x:c>
      <x:c r="X6" s="168" t="n">
        <x:f>'Investment &amp; Funding'!X10</x:f>
        <x:v>0</x:v>
      </x:c>
      <x:c r="Y6" s="168" t="n">
        <x:f>'Investment &amp; Funding'!Y10</x:f>
        <x:v>0</x:v>
      </x:c>
      <x:c r="Z6" s="168" t="n">
        <x:f>'Investment &amp; Funding'!Z10</x:f>
        <x:v>0</x:v>
      </x:c>
      <x:c r="AA6" s="168" t="n">
        <x:f>'Investment &amp; Funding'!AA10</x:f>
        <x:v>0</x:v>
      </x:c>
      <x:c r="AB6" s="168" t="n">
        <x:f>'Investment &amp; Funding'!AB10</x:f>
        <x:v>0</x:v>
      </x:c>
      <x:c r="AC6" s="168" t="n">
        <x:f>'Investment &amp; Funding'!AC10</x:f>
        <x:v>0</x:v>
      </x:c>
      <x:c r="AD6" s="168" t="n">
        <x:f>'Investment &amp; Funding'!AD10</x:f>
        <x:v>0</x:v>
      </x:c>
      <x:c r="AE6" s="168" t="n">
        <x:f>'Investment &amp; Funding'!AE10</x:f>
        <x:v>0</x:v>
      </x:c>
      <x:c r="AF6" s="168" t="n">
        <x:f>'Investment &amp; Funding'!AF10</x:f>
        <x:v>0</x:v>
      </x:c>
      <x:c r="AG6" s="168" t="n">
        <x:f>'Investment &amp; Funding'!AG10</x:f>
        <x:v>0</x:v>
      </x:c>
      <x:c r="AH6" s="168" t="n">
        <x:f>'Investment &amp; Funding'!AH10</x:f>
        <x:v>0</x:v>
      </x:c>
      <x:c r="AI6" s="168" t="n">
        <x:f>'Investment &amp; Funding'!AI10</x:f>
        <x:v>0</x:v>
      </x:c>
      <x:c r="AJ6" s="168" t="n">
        <x:f>'Investment &amp; Funding'!AJ10</x:f>
        <x:v>0</x:v>
      </x:c>
      <x:c r="AK6" s="168" t="n">
        <x:f>'Investment &amp; Funding'!AK10</x:f>
        <x:v>0</x:v>
      </x:c>
    </x:row>
    <x:row r="7">
      <x:c r="A7" s="167" t="str">
        <x:v>Founder equity</x:v>
      </x:c>
      <x:c r="B7" s="168" t="n">
        <x:f>'Investment &amp; Funding'!B11</x:f>
        <x:v>0</x:v>
      </x:c>
      <x:c r="C7" s="168" t="n">
        <x:f>'Investment &amp; Funding'!C11</x:f>
        <x:v>0</x:v>
      </x:c>
      <x:c r="D7" s="168" t="n">
        <x:f>'Investment &amp; Funding'!D11</x:f>
        <x:v>0</x:v>
      </x:c>
      <x:c r="E7" s="168" t="n">
        <x:f>'Investment &amp; Funding'!E11</x:f>
        <x:v>0</x:v>
      </x:c>
      <x:c r="F7" s="168" t="n">
        <x:f>'Investment &amp; Funding'!F11</x:f>
        <x:v>0</x:v>
      </x:c>
      <x:c r="G7" s="168" t="n">
        <x:f>'Investment &amp; Funding'!G11</x:f>
        <x:v>0</x:v>
      </x:c>
      <x:c r="H7" s="168" t="n">
        <x:f>'Investment &amp; Funding'!H11</x:f>
        <x:v>0</x:v>
      </x:c>
      <x:c r="I7" s="168" t="n">
        <x:f>'Investment &amp; Funding'!I11</x:f>
        <x:v>0</x:v>
      </x:c>
      <x:c r="J7" s="168" t="n">
        <x:f>'Investment &amp; Funding'!J11</x:f>
        <x:v>0</x:v>
      </x:c>
      <x:c r="K7" s="168" t="n">
        <x:f>'Investment &amp; Funding'!K11</x:f>
        <x:v>0</x:v>
      </x:c>
      <x:c r="L7" s="168" t="n">
        <x:f>'Investment &amp; Funding'!L11</x:f>
        <x:v>0</x:v>
      </x:c>
      <x:c r="M7" s="168" t="n">
        <x:f>'Investment &amp; Funding'!M11</x:f>
        <x:v>0</x:v>
      </x:c>
      <x:c r="N7" s="168" t="n">
        <x:f>'Investment &amp; Funding'!N11</x:f>
        <x:v>0</x:v>
      </x:c>
      <x:c r="O7" s="168" t="n">
        <x:f>'Investment &amp; Funding'!O11</x:f>
        <x:v>0</x:v>
      </x:c>
      <x:c r="P7" s="168" t="n">
        <x:f>'Investment &amp; Funding'!P11</x:f>
        <x:v>0</x:v>
      </x:c>
      <x:c r="Q7" s="168" t="n">
        <x:f>'Investment &amp; Funding'!Q11</x:f>
        <x:v>0</x:v>
      </x:c>
      <x:c r="R7" s="168" t="n">
        <x:f>'Investment &amp; Funding'!R11</x:f>
        <x:v>0</x:v>
      </x:c>
      <x:c r="S7" s="168" t="n">
        <x:f>'Investment &amp; Funding'!S11</x:f>
        <x:v>0</x:v>
      </x:c>
      <x:c r="T7" s="168" t="n">
        <x:f>'Investment &amp; Funding'!T11</x:f>
        <x:v>0</x:v>
      </x:c>
      <x:c r="U7" s="168" t="n">
        <x:f>'Investment &amp; Funding'!U11</x:f>
        <x:v>0</x:v>
      </x:c>
      <x:c r="V7" s="168" t="n">
        <x:f>'Investment &amp; Funding'!V11</x:f>
        <x:v>0</x:v>
      </x:c>
      <x:c r="W7" s="168" t="n">
        <x:f>'Investment &amp; Funding'!W11</x:f>
        <x:v>0</x:v>
      </x:c>
      <x:c r="X7" s="168" t="n">
        <x:f>'Investment &amp; Funding'!X11</x:f>
        <x:v>0</x:v>
      </x:c>
      <x:c r="Y7" s="168" t="n">
        <x:f>'Investment &amp; Funding'!Y11</x:f>
        <x:v>0</x:v>
      </x:c>
      <x:c r="Z7" s="168" t="n">
        <x:f>'Investment &amp; Funding'!Z11</x:f>
        <x:v>0</x:v>
      </x:c>
      <x:c r="AA7" s="168" t="n">
        <x:f>'Investment &amp; Funding'!AA11</x:f>
        <x:v>0</x:v>
      </x:c>
      <x:c r="AB7" s="168" t="n">
        <x:f>'Investment &amp; Funding'!AB11</x:f>
        <x:v>0</x:v>
      </x:c>
      <x:c r="AC7" s="168" t="n">
        <x:f>'Investment &amp; Funding'!AC11</x:f>
        <x:v>0</x:v>
      </x:c>
      <x:c r="AD7" s="168" t="n">
        <x:f>'Investment &amp; Funding'!AD11</x:f>
        <x:v>0</x:v>
      </x:c>
      <x:c r="AE7" s="168" t="n">
        <x:f>'Investment &amp; Funding'!AE11</x:f>
        <x:v>0</x:v>
      </x:c>
      <x:c r="AF7" s="168" t="n">
        <x:f>'Investment &amp; Funding'!AF11</x:f>
        <x:v>0</x:v>
      </x:c>
      <x:c r="AG7" s="168" t="n">
        <x:f>'Investment &amp; Funding'!AG11</x:f>
        <x:v>0</x:v>
      </x:c>
      <x:c r="AH7" s="168" t="n">
        <x:f>'Investment &amp; Funding'!AH11</x:f>
        <x:v>0</x:v>
      </x:c>
      <x:c r="AI7" s="168" t="n">
        <x:f>'Investment &amp; Funding'!AI11</x:f>
        <x:v>0</x:v>
      </x:c>
      <x:c r="AJ7" s="168" t="n">
        <x:f>'Investment &amp; Funding'!AJ11</x:f>
        <x:v>0</x:v>
      </x:c>
      <x:c r="AK7" s="168" t="n">
        <x:f>'Investment &amp; Funding'!AK11</x:f>
        <x:v>0</x:v>
      </x:c>
    </x:row>
    <x:row r="8">
      <x:c r="A8" s="167" t="str">
        <x:v>Customer cash receipts</x:v>
      </x:c>
      <x:c r="B8" s="168" t="n">
        <x:f>'Revenue Cohorts'!H37</x:f>
        <x:v>0</x:v>
      </x:c>
      <x:c r="C8" s="168" t="n">
        <x:f>'Revenue Cohorts'!I37</x:f>
        <x:v>0</x:v>
      </x:c>
      <x:c r="D8" s="168" t="n">
        <x:f>'Revenue Cohorts'!J37</x:f>
        <x:v>0</x:v>
      </x:c>
      <x:c r="E8" s="168" t="n">
        <x:f>'Revenue Cohorts'!K37</x:f>
        <x:v>0</x:v>
      </x:c>
      <x:c r="F8" s="168" t="n">
        <x:f>'Revenue Cohorts'!L37</x:f>
        <x:v>0</x:v>
      </x:c>
      <x:c r="G8" s="168" t="n">
        <x:f>'Revenue Cohorts'!M37</x:f>
        <x:v>5000</x:v>
      </x:c>
      <x:c r="H8" s="168" t="n">
        <x:f>'Revenue Cohorts'!N37</x:f>
        <x:v>2250</x:v>
      </x:c>
      <x:c r="I8" s="168" t="n">
        <x:f>'Revenue Cohorts'!O37</x:f>
        <x:v>7250</x:v>
      </x:c>
      <x:c r="J8" s="168" t="n">
        <x:f>'Revenue Cohorts'!P37</x:f>
        <x:v>4500</x:v>
      </x:c>
      <x:c r="K8" s="168" t="n">
        <x:f>'Revenue Cohorts'!Q37</x:f>
        <x:v>9500</x:v>
      </x:c>
      <x:c r="L8" s="168" t="n">
        <x:f>'Revenue Cohorts'!R37</x:f>
        <x:v>6750</x:v>
      </x:c>
      <x:c r="M8" s="168" t="n">
        <x:f>'Revenue Cohorts'!S37</x:f>
        <x:v>11750</x:v>
      </x:c>
      <x:c r="N8" s="168" t="n">
        <x:f>'Revenue Cohorts'!T37</x:f>
        <x:v>9000</x:v>
      </x:c>
      <x:c r="O8" s="168" t="n">
        <x:f>'Revenue Cohorts'!U37</x:f>
        <x:v>14000</x:v>
      </x:c>
      <x:c r="P8" s="168" t="n">
        <x:f>'Revenue Cohorts'!V37</x:f>
        <x:v>17105</x:v>
      </x:c>
      <x:c r="Q8" s="168" t="n">
        <x:f>'Revenue Cohorts'!W37</x:f>
        <x:v>15210</x:v>
      </x:c>
      <x:c r="R8" s="168" t="n">
        <x:f>'Revenue Cohorts'!X37</x:f>
        <x:v>20210</x:v>
      </x:c>
      <x:c r="S8" s="168" t="n">
        <x:f>'Revenue Cohorts'!Y37</x:f>
        <x:v>23315</x:v>
      </x:c>
      <x:c r="T8" s="168" t="n">
        <x:f>'Revenue Cohorts'!Z37</x:f>
        <x:v>21420</x:v>
      </x:c>
      <x:c r="U8" s="168" t="n">
        <x:f>'Revenue Cohorts'!AA37</x:f>
        <x:v>26420</x:v>
      </x:c>
      <x:c r="V8" s="168" t="n">
        <x:f>'Revenue Cohorts'!AB37</x:f>
        <x:v>29525</x:v>
      </x:c>
      <x:c r="W8" s="168" t="n">
        <x:f>'Revenue Cohorts'!AC37</x:f>
        <x:v>27630</x:v>
      </x:c>
      <x:c r="X8" s="168" t="n">
        <x:f>'Revenue Cohorts'!AD37</x:f>
        <x:v>32630</x:v>
      </x:c>
      <x:c r="Y8" s="168" t="n">
        <x:f>'Revenue Cohorts'!AE37</x:f>
        <x:v>35735</x:v>
      </x:c>
      <x:c r="Z8" s="168" t="n">
        <x:f>'Revenue Cohorts'!AF37</x:f>
        <x:v>33840</x:v>
      </x:c>
      <x:c r="AA8" s="168" t="n">
        <x:f>'Revenue Cohorts'!AG37</x:f>
        <x:v>38840</x:v>
      </x:c>
      <x:c r="AB8" s="168" t="n">
        <x:f>'Revenue Cohorts'!AH37</x:f>
        <x:v>41945</x:v>
      </x:c>
      <x:c r="AC8" s="168" t="n">
        <x:f>'Revenue Cohorts'!AI37</x:f>
        <x:v>45050</x:v>
      </x:c>
      <x:c r="AD8" s="168" t="n">
        <x:f>'Revenue Cohorts'!AJ37</x:f>
        <x:v>48155</x:v>
      </x:c>
      <x:c r="AE8" s="168" t="n">
        <x:f>'Revenue Cohorts'!AK37</x:f>
        <x:v>51260</x:v>
      </x:c>
      <x:c r="AF8" s="168" t="n">
        <x:f>'Revenue Cohorts'!AL37</x:f>
        <x:v>54365</x:v>
      </x:c>
      <x:c r="AG8" s="168" t="n">
        <x:f>'Revenue Cohorts'!AM37</x:f>
        <x:v>57470</x:v>
      </x:c>
      <x:c r="AH8" s="168" t="n">
        <x:f>'Revenue Cohorts'!AN37</x:f>
        <x:v>60575</x:v>
      </x:c>
      <x:c r="AI8" s="168" t="n">
        <x:f>'Revenue Cohorts'!AO37</x:f>
        <x:v>63680</x:v>
      </x:c>
      <x:c r="AJ8" s="168" t="n">
        <x:f>'Revenue Cohorts'!AP37</x:f>
        <x:v>66785</x:v>
      </x:c>
      <x:c r="AK8" s="168" t="n">
        <x:f>'Revenue Cohorts'!AQ37</x:f>
        <x:v>74890</x:v>
      </x:c>
    </x:row>
    <x:row r="9">
      <x:c r="A9" s="169" t="str">
        <x:v>Total cash inflow</x:v>
      </x:c>
      <x:c r="B9" s="170" t="n">
        <x:f>SUM(B6:B8)</x:f>
        <x:v>200000</x:v>
      </x:c>
      <x:c r="C9" s="170" t="n">
        <x:f>SUM(C6:C8)</x:f>
        <x:v>0</x:v>
      </x:c>
      <x:c r="D9" s="170" t="n">
        <x:f>SUM(D6:D8)</x:f>
        <x:v>0</x:v>
      </x:c>
      <x:c r="E9" s="170" t="n">
        <x:f>SUM(E6:E8)</x:f>
        <x:v>0</x:v>
      </x:c>
      <x:c r="F9" s="170" t="n">
        <x:f>SUM(F6:F8)</x:f>
        <x:v>0</x:v>
      </x:c>
      <x:c r="G9" s="170" t="n">
        <x:f>SUM(G6:G8)</x:f>
        <x:v>5000</x:v>
      </x:c>
      <x:c r="H9" s="170" t="n">
        <x:f>SUM(H6:H8)</x:f>
        <x:v>2250</x:v>
      </x:c>
      <x:c r="I9" s="170" t="n">
        <x:f>SUM(I6:I8)</x:f>
        <x:v>7250</x:v>
      </x:c>
      <x:c r="J9" s="170" t="n">
        <x:f>SUM(J6:J8)</x:f>
        <x:v>4500</x:v>
      </x:c>
      <x:c r="K9" s="170" t="n">
        <x:f>SUM(K6:K8)</x:f>
        <x:v>9500</x:v>
      </x:c>
      <x:c r="L9" s="170" t="n">
        <x:f>SUM(L6:L8)</x:f>
        <x:v>6750</x:v>
      </x:c>
      <x:c r="M9" s="170" t="n">
        <x:f>SUM(M6:M8)</x:f>
        <x:v>11750</x:v>
      </x:c>
      <x:c r="N9" s="170" t="n">
        <x:f>SUM(N6:N8)</x:f>
        <x:v>9000</x:v>
      </x:c>
      <x:c r="O9" s="170" t="n">
        <x:f>SUM(O6:O8)</x:f>
        <x:v>14000</x:v>
      </x:c>
      <x:c r="P9" s="170" t="n">
        <x:f>SUM(P6:P8)</x:f>
        <x:v>17105</x:v>
      </x:c>
      <x:c r="Q9" s="170" t="n">
        <x:f>SUM(Q6:Q8)</x:f>
        <x:v>15210</x:v>
      </x:c>
      <x:c r="R9" s="170" t="n">
        <x:f>SUM(R6:R8)</x:f>
        <x:v>20210</x:v>
      </x:c>
      <x:c r="S9" s="170" t="n">
        <x:f>SUM(S6:S8)</x:f>
        <x:v>23315</x:v>
      </x:c>
      <x:c r="T9" s="170" t="n">
        <x:f>SUM(T6:T8)</x:f>
        <x:v>21420</x:v>
      </x:c>
      <x:c r="U9" s="170" t="n">
        <x:f>SUM(U6:U8)</x:f>
        <x:v>26420</x:v>
      </x:c>
      <x:c r="V9" s="170" t="n">
        <x:f>SUM(V6:V8)</x:f>
        <x:v>29525</x:v>
      </x:c>
      <x:c r="W9" s="170" t="n">
        <x:f>SUM(W6:W8)</x:f>
        <x:v>27630</x:v>
      </x:c>
      <x:c r="X9" s="170" t="n">
        <x:f>SUM(X6:X8)</x:f>
        <x:v>32630</x:v>
      </x:c>
      <x:c r="Y9" s="170" t="n">
        <x:f>SUM(Y6:Y8)</x:f>
        <x:v>35735</x:v>
      </x:c>
      <x:c r="Z9" s="170" t="n">
        <x:f>SUM(Z6:Z8)</x:f>
        <x:v>33840</x:v>
      </x:c>
      <x:c r="AA9" s="170" t="n">
        <x:f>SUM(AA6:AA8)</x:f>
        <x:v>38840</x:v>
      </x:c>
      <x:c r="AB9" s="170" t="n">
        <x:f>SUM(AB6:AB8)</x:f>
        <x:v>41945</x:v>
      </x:c>
      <x:c r="AC9" s="170" t="n">
        <x:f>SUM(AC6:AC8)</x:f>
        <x:v>45050</x:v>
      </x:c>
      <x:c r="AD9" s="170" t="n">
        <x:f>SUM(AD6:AD8)</x:f>
        <x:v>48155</x:v>
      </x:c>
      <x:c r="AE9" s="170" t="n">
        <x:f>SUM(AE6:AE8)</x:f>
        <x:v>51260</x:v>
      </x:c>
      <x:c r="AF9" s="170" t="n">
        <x:f>SUM(AF6:AF8)</x:f>
        <x:v>54365</x:v>
      </x:c>
      <x:c r="AG9" s="170" t="n">
        <x:f>SUM(AG6:AG8)</x:f>
        <x:v>57470</x:v>
      </x:c>
      <x:c r="AH9" s="170" t="n">
        <x:f>SUM(AH6:AH8)</x:f>
        <x:v>60575</x:v>
      </x:c>
      <x:c r="AI9" s="170" t="n">
        <x:f>SUM(AI6:AI8)</x:f>
        <x:v>63680</x:v>
      </x:c>
      <x:c r="AJ9" s="170" t="n">
        <x:f>SUM(AJ6:AJ8)</x:f>
        <x:v>66785</x:v>
      </x:c>
      <x:c r="AK9" s="170" t="n">
        <x:f>SUM(AK6:AK8)</x:f>
        <x:v>74890</x:v>
      </x:c>
    </x:row>
    <x:row r="10">
      <x:c r="A10" s="167" t="str"/>
      <x:c r="B10" s="168"/>
      <x:c r="C10" s="168"/>
      <x:c r="D10" s="168"/>
      <x:c r="E10" s="168"/>
      <x:c r="F10" s="168"/>
      <x:c r="G10" s="168"/>
      <x:c r="H10" s="168"/>
      <x:c r="I10" s="168"/>
      <x:c r="J10" s="168"/>
      <x:c r="K10" s="168"/>
      <x:c r="L10" s="168"/>
      <x:c r="M10" s="168"/>
      <x:c r="N10" s="168"/>
      <x:c r="O10" s="168"/>
      <x:c r="P10" s="168"/>
      <x:c r="Q10" s="168"/>
      <x:c r="R10" s="168"/>
      <x:c r="S10" s="168"/>
      <x:c r="T10" s="168"/>
      <x:c r="U10" s="168"/>
      <x:c r="V10" s="168"/>
      <x:c r="W10" s="168"/>
      <x:c r="X10" s="168"/>
      <x:c r="Y10" s="168"/>
      <x:c r="Z10" s="168"/>
      <x:c r="AA10" s="168"/>
      <x:c r="AB10" s="168"/>
      <x:c r="AC10" s="168"/>
      <x:c r="AD10" s="168"/>
      <x:c r="AE10" s="168"/>
      <x:c r="AF10" s="168"/>
      <x:c r="AG10" s="168"/>
      <x:c r="AH10" s="168"/>
      <x:c r="AI10" s="168"/>
      <x:c r="AJ10" s="168"/>
      <x:c r="AK10" s="168"/>
    </x:row>
    <x:row r="11">
      <x:c r="A11" s="167" t="str">
        <x:v>Investment cash</x:v>
      </x:c>
      <x:c r="B11" s="168" t="n">
        <x:f>'Investment &amp; Funding'!B7</x:f>
        <x:v>26000</x:v>
      </x:c>
      <x:c r="C11" s="168" t="n">
        <x:f>'Investment &amp; Funding'!C7</x:f>
        <x:v>0</x:v>
      </x:c>
      <x:c r="D11" s="168" t="n">
        <x:f>'Investment &amp; Funding'!D7</x:f>
        <x:v>20000</x:v>
      </x:c>
      <x:c r="E11" s="168" t="n">
        <x:f>'Investment &amp; Funding'!E7</x:f>
        <x:v>4000</x:v>
      </x:c>
      <x:c r="F11" s="168" t="n">
        <x:f>'Investment &amp; Funding'!F7</x:f>
        <x:v>20000</x:v>
      </x:c>
      <x:c r="G11" s="168" t="n">
        <x:f>'Investment &amp; Funding'!G7</x:f>
        <x:v>0</x:v>
      </x:c>
      <x:c r="H11" s="168" t="n">
        <x:f>'Investment &amp; Funding'!H7</x:f>
        <x:v>20000</x:v>
      </x:c>
      <x:c r="I11" s="168" t="n">
        <x:f>'Investment &amp; Funding'!I7</x:f>
        <x:v>0</x:v>
      </x:c>
      <x:c r="J11" s="168" t="n">
        <x:f>'Investment &amp; Funding'!J7</x:f>
        <x:v>15000</x:v>
      </x:c>
      <x:c r="K11" s="168" t="n">
        <x:f>'Investment &amp; Funding'!K7</x:f>
        <x:v>0</x:v>
      </x:c>
      <x:c r="L11" s="168" t="n">
        <x:f>'Investment &amp; Funding'!L7</x:f>
        <x:v>15000</x:v>
      </x:c>
      <x:c r="M11" s="168" t="n">
        <x:f>'Investment &amp; Funding'!M7</x:f>
        <x:v>0</x:v>
      </x:c>
      <x:c r="N11" s="168" t="n">
        <x:f>'Investment &amp; Funding'!N7</x:f>
        <x:v>0</x:v>
      </x:c>
      <x:c r="O11" s="168" t="n">
        <x:f>'Investment &amp; Funding'!O7</x:f>
        <x:v>0</x:v>
      </x:c>
      <x:c r="P11" s="168" t="n">
        <x:f>'Investment &amp; Funding'!P7</x:f>
        <x:v>0</x:v>
      </x:c>
      <x:c r="Q11" s="168" t="n">
        <x:f>'Investment &amp; Funding'!Q7</x:f>
        <x:v>0</x:v>
      </x:c>
      <x:c r="R11" s="168" t="n">
        <x:f>'Investment &amp; Funding'!R7</x:f>
        <x:v>0</x:v>
      </x:c>
      <x:c r="S11" s="168" t="n">
        <x:f>'Investment &amp; Funding'!S7</x:f>
        <x:v>0</x:v>
      </x:c>
      <x:c r="T11" s="168" t="n">
        <x:f>'Investment &amp; Funding'!T7</x:f>
        <x:v>0</x:v>
      </x:c>
      <x:c r="U11" s="168" t="n">
        <x:f>'Investment &amp; Funding'!U7</x:f>
        <x:v>0</x:v>
      </x:c>
      <x:c r="V11" s="168" t="n">
        <x:f>'Investment &amp; Funding'!V7</x:f>
        <x:v>0</x:v>
      </x:c>
      <x:c r="W11" s="168" t="n">
        <x:f>'Investment &amp; Funding'!W7</x:f>
        <x:v>0</x:v>
      </x:c>
      <x:c r="X11" s="168" t="n">
        <x:f>'Investment &amp; Funding'!X7</x:f>
        <x:v>0</x:v>
      </x:c>
      <x:c r="Y11" s="168" t="n">
        <x:f>'Investment &amp; Funding'!Y7</x:f>
        <x:v>0</x:v>
      </x:c>
      <x:c r="Z11" s="168" t="n">
        <x:f>'Investment &amp; Funding'!Z7</x:f>
        <x:v>0</x:v>
      </x:c>
      <x:c r="AA11" s="168" t="n">
        <x:f>'Investment &amp; Funding'!AA7</x:f>
        <x:v>0</x:v>
      </x:c>
      <x:c r="AB11" s="168" t="n">
        <x:f>'Investment &amp; Funding'!AB7</x:f>
        <x:v>0</x:v>
      </x:c>
      <x:c r="AC11" s="168" t="n">
        <x:f>'Investment &amp; Funding'!AC7</x:f>
        <x:v>0</x:v>
      </x:c>
      <x:c r="AD11" s="168" t="n">
        <x:f>'Investment &amp; Funding'!AD7</x:f>
        <x:v>0</x:v>
      </x:c>
      <x:c r="AE11" s="168" t="n">
        <x:f>'Investment &amp; Funding'!AE7</x:f>
        <x:v>0</x:v>
      </x:c>
      <x:c r="AF11" s="168" t="n">
        <x:f>'Investment &amp; Funding'!AF7</x:f>
        <x:v>0</x:v>
      </x:c>
      <x:c r="AG11" s="168" t="n">
        <x:f>'Investment &amp; Funding'!AG7</x:f>
        <x:v>0</x:v>
      </x:c>
      <x:c r="AH11" s="168" t="n">
        <x:f>'Investment &amp; Funding'!AH7</x:f>
        <x:v>0</x:v>
      </x:c>
      <x:c r="AI11" s="168" t="n">
        <x:f>'Investment &amp; Funding'!AI7</x:f>
        <x:v>0</x:v>
      </x:c>
      <x:c r="AJ11" s="168" t="n">
        <x:f>'Investment &amp; Funding'!AJ7</x:f>
        <x:v>0</x:v>
      </x:c>
      <x:c r="AK11" s="168" t="n">
        <x:f>'Investment &amp; Funding'!AK7</x:f>
        <x:v>0</x:v>
      </x:c>
    </x:row>
    <x:row r="12">
      <x:c r="A12" s="167" t="str">
        <x:v>Personnel</x:v>
      </x:c>
      <x:c r="B12" s="168" t="n">
        <x:f>'Personnel &amp; Opex'!B19</x:f>
        <x:v>0</x:v>
      </x:c>
      <x:c r="C12" s="168" t="n">
        <x:f>'Personnel &amp; Opex'!C19</x:f>
        <x:v>0</x:v>
      </x:c>
      <x:c r="D12" s="168" t="n">
        <x:f>'Personnel &amp; Opex'!D19</x:f>
        <x:v>0</x:v>
      </x:c>
      <x:c r="E12" s="168" t="n">
        <x:f>'Personnel &amp; Opex'!E19</x:f>
        <x:v>0</x:v>
      </x:c>
      <x:c r="F12" s="168" t="n">
        <x:f>'Personnel &amp; Opex'!F19</x:f>
        <x:v>0</x:v>
      </x:c>
      <x:c r="G12" s="168" t="n">
        <x:f>'Personnel &amp; Opex'!G19</x:f>
        <x:v>0</x:v>
      </x:c>
      <x:c r="H12" s="168" t="n">
        <x:f>'Personnel &amp; Opex'!H19</x:f>
        <x:v>0</x:v>
      </x:c>
      <x:c r="I12" s="168" t="n">
        <x:f>'Personnel &amp; Opex'!I19</x:f>
        <x:v>0</x:v>
      </x:c>
      <x:c r="J12" s="168" t="n">
        <x:f>'Personnel &amp; Opex'!J19</x:f>
        <x:v>0</x:v>
      </x:c>
      <x:c r="K12" s="168" t="n">
        <x:f>'Personnel &amp; Opex'!K19</x:f>
        <x:v>0</x:v>
      </x:c>
      <x:c r="L12" s="168" t="n">
        <x:f>'Personnel &amp; Opex'!L19</x:f>
        <x:v>0</x:v>
      </x:c>
      <x:c r="M12" s="168" t="n">
        <x:f>'Personnel &amp; Opex'!M19</x:f>
        <x:v>0</x:v>
      </x:c>
      <x:c r="N12" s="168" t="n">
        <x:f>'Personnel &amp; Opex'!N19</x:f>
        <x:v>13800</x:v>
      </x:c>
      <x:c r="O12" s="168" t="n">
        <x:f>'Personnel &amp; Opex'!O19</x:f>
        <x:v>13800</x:v>
      </x:c>
      <x:c r="P12" s="168" t="n">
        <x:f>'Personnel &amp; Opex'!P19</x:f>
        <x:v>13800</x:v>
      </x:c>
      <x:c r="Q12" s="168" t="n">
        <x:f>'Personnel &amp; Opex'!Q19</x:f>
        <x:v>13800</x:v>
      </x:c>
      <x:c r="R12" s="168" t="n">
        <x:f>'Personnel &amp; Opex'!R19</x:f>
        <x:v>13800</x:v>
      </x:c>
      <x:c r="S12" s="168" t="n">
        <x:f>'Personnel &amp; Opex'!S19</x:f>
        <x:v>13800</x:v>
      </x:c>
      <x:c r="T12" s="168" t="n">
        <x:f>'Personnel &amp; Opex'!T19</x:f>
        <x:v>13800</x:v>
      </x:c>
      <x:c r="U12" s="168" t="n">
        <x:f>'Personnel &amp; Opex'!U19</x:f>
        <x:v>20400</x:v>
      </x:c>
      <x:c r="V12" s="168" t="n">
        <x:f>'Personnel &amp; Opex'!V19</x:f>
        <x:v>20400</x:v>
      </x:c>
      <x:c r="W12" s="168" t="n">
        <x:f>'Personnel &amp; Opex'!W19</x:f>
        <x:v>20400</x:v>
      </x:c>
      <x:c r="X12" s="168" t="n">
        <x:f>'Personnel &amp; Opex'!X19</x:f>
        <x:v>20400</x:v>
      </x:c>
      <x:c r="Y12" s="168" t="n">
        <x:f>'Personnel &amp; Opex'!Y19</x:f>
        <x:v>20400</x:v>
      </x:c>
      <x:c r="Z12" s="168" t="n">
        <x:f>'Personnel &amp; Opex'!Z19</x:f>
        <x:v>22200</x:v>
      </x:c>
      <x:c r="AA12" s="168" t="n">
        <x:f>'Personnel &amp; Opex'!AA19</x:f>
        <x:v>22200</x:v>
      </x:c>
      <x:c r="AB12" s="168" t="n">
        <x:f>'Personnel &amp; Opex'!AB19</x:f>
        <x:v>22200</x:v>
      </x:c>
      <x:c r="AC12" s="168" t="n">
        <x:f>'Personnel &amp; Opex'!AC19</x:f>
        <x:v>27600</x:v>
      </x:c>
      <x:c r="AD12" s="168" t="n">
        <x:f>'Personnel &amp; Opex'!AD19</x:f>
        <x:v>27600</x:v>
      </x:c>
      <x:c r="AE12" s="168" t="n">
        <x:f>'Personnel &amp; Opex'!AE19</x:f>
        <x:v>27600</x:v>
      </x:c>
      <x:c r="AF12" s="168" t="n">
        <x:f>'Personnel &amp; Opex'!AF19</x:f>
        <x:v>33600</x:v>
      </x:c>
      <x:c r="AG12" s="168" t="n">
        <x:f>'Personnel &amp; Opex'!AG19</x:f>
        <x:v>33600</x:v>
      </x:c>
      <x:c r="AH12" s="168" t="n">
        <x:f>'Personnel &amp; Opex'!AH19</x:f>
        <x:v>33600</x:v>
      </x:c>
      <x:c r="AI12" s="168" t="n">
        <x:f>'Personnel &amp; Opex'!AI19</x:f>
        <x:v>33600</x:v>
      </x:c>
      <x:c r="AJ12" s="168" t="n">
        <x:f>'Personnel &amp; Opex'!AJ19</x:f>
        <x:v>33600</x:v>
      </x:c>
      <x:c r="AK12" s="168" t="n">
        <x:f>'Personnel &amp; Opex'!AK19</x:f>
        <x:v>33600</x:v>
      </x:c>
    </x:row>
    <x:row r="13">
      <x:c r="A13" s="167" t="str">
        <x:v>Fixed opex</x:v>
      </x:c>
      <x:c r="B13" s="168" t="n">
        <x:f>'Personnel &amp; Opex'!B27</x:f>
        <x:v>3166.666666</x:v>
      </x:c>
      <x:c r="C13" s="168" t="n">
        <x:f>'Personnel &amp; Opex'!C27</x:f>
        <x:v>3166.666666</x:v>
      </x:c>
      <x:c r="D13" s="168" t="n">
        <x:f>'Personnel &amp; Opex'!D27</x:f>
        <x:v>3166.666666</x:v>
      </x:c>
      <x:c r="E13" s="168" t="n">
        <x:f>'Personnel &amp; Opex'!E27</x:f>
        <x:v>3166.666666</x:v>
      </x:c>
      <x:c r="F13" s="168" t="n">
        <x:f>'Personnel &amp; Opex'!F27</x:f>
        <x:v>3166.666666</x:v>
      </x:c>
      <x:c r="G13" s="168" t="n">
        <x:f>'Personnel &amp; Opex'!G27</x:f>
        <x:v>3166.666666</x:v>
      </x:c>
      <x:c r="H13" s="168" t="n">
        <x:f>'Personnel &amp; Opex'!H27</x:f>
        <x:v>3166.666666</x:v>
      </x:c>
      <x:c r="I13" s="168" t="n">
        <x:f>'Personnel &amp; Opex'!I27</x:f>
        <x:v>3166.666666</x:v>
      </x:c>
      <x:c r="J13" s="168" t="n">
        <x:f>'Personnel &amp; Opex'!J27</x:f>
        <x:v>3166.666666</x:v>
      </x:c>
      <x:c r="K13" s="168" t="n">
        <x:f>'Personnel &amp; Opex'!K27</x:f>
        <x:v>3166.666666</x:v>
      </x:c>
      <x:c r="L13" s="168" t="n">
        <x:f>'Personnel &amp; Opex'!L27</x:f>
        <x:v>3166.666666</x:v>
      </x:c>
      <x:c r="M13" s="168" t="n">
        <x:f>'Personnel &amp; Opex'!M27</x:f>
        <x:v>3166.666666</x:v>
      </x:c>
      <x:c r="N13" s="168" t="n">
        <x:f>'Personnel &amp; Opex'!N27</x:f>
        <x:v>5000</x:v>
      </x:c>
      <x:c r="O13" s="168" t="n">
        <x:f>'Personnel &amp; Opex'!O27</x:f>
        <x:v>5000</x:v>
      </x:c>
      <x:c r="P13" s="168" t="n">
        <x:f>'Personnel &amp; Opex'!P27</x:f>
        <x:v>5000</x:v>
      </x:c>
      <x:c r="Q13" s="168" t="n">
        <x:f>'Personnel &amp; Opex'!Q27</x:f>
        <x:v>5000</x:v>
      </x:c>
      <x:c r="R13" s="168" t="n">
        <x:f>'Personnel &amp; Opex'!R27</x:f>
        <x:v>5000</x:v>
      </x:c>
      <x:c r="S13" s="168" t="n">
        <x:f>'Personnel &amp; Opex'!S27</x:f>
        <x:v>5000</x:v>
      </x:c>
      <x:c r="T13" s="168" t="n">
        <x:f>'Personnel &amp; Opex'!T27</x:f>
        <x:v>5000</x:v>
      </x:c>
      <x:c r="U13" s="168" t="n">
        <x:f>'Personnel &amp; Opex'!U27</x:f>
        <x:v>5000</x:v>
      </x:c>
      <x:c r="V13" s="168" t="n">
        <x:f>'Personnel &amp; Opex'!V27</x:f>
        <x:v>5000</x:v>
      </x:c>
      <x:c r="W13" s="168" t="n">
        <x:f>'Personnel &amp; Opex'!W27</x:f>
        <x:v>5000</x:v>
      </x:c>
      <x:c r="X13" s="168" t="n">
        <x:f>'Personnel &amp; Opex'!X27</x:f>
        <x:v>5000</x:v>
      </x:c>
      <x:c r="Y13" s="168" t="n">
        <x:f>'Personnel &amp; Opex'!Y27</x:f>
        <x:v>5000</x:v>
      </x:c>
      <x:c r="Z13" s="168" t="n">
        <x:f>'Personnel &amp; Opex'!Z27</x:f>
        <x:v>8750</x:v>
      </x:c>
      <x:c r="AA13" s="168" t="n">
        <x:f>'Personnel &amp; Opex'!AA27</x:f>
        <x:v>8750</x:v>
      </x:c>
      <x:c r="AB13" s="168" t="n">
        <x:f>'Personnel &amp; Opex'!AB27</x:f>
        <x:v>8750</x:v>
      </x:c>
      <x:c r="AC13" s="168" t="n">
        <x:f>'Personnel &amp; Opex'!AC27</x:f>
        <x:v>8750</x:v>
      </x:c>
      <x:c r="AD13" s="168" t="n">
        <x:f>'Personnel &amp; Opex'!AD27</x:f>
        <x:v>8750</x:v>
      </x:c>
      <x:c r="AE13" s="168" t="n">
        <x:f>'Personnel &amp; Opex'!AE27</x:f>
        <x:v>8750</x:v>
      </x:c>
      <x:c r="AF13" s="168" t="n">
        <x:f>'Personnel &amp; Opex'!AF27</x:f>
        <x:v>8750</x:v>
      </x:c>
      <x:c r="AG13" s="168" t="n">
        <x:f>'Personnel &amp; Opex'!AG27</x:f>
        <x:v>8750</x:v>
      </x:c>
      <x:c r="AH13" s="168" t="n">
        <x:f>'Personnel &amp; Opex'!AH27</x:f>
        <x:v>8750</x:v>
      </x:c>
      <x:c r="AI13" s="168" t="n">
        <x:f>'Personnel &amp; Opex'!AI27</x:f>
        <x:v>8750</x:v>
      </x:c>
      <x:c r="AJ13" s="168" t="n">
        <x:f>'Personnel &amp; Opex'!AJ27</x:f>
        <x:v>8750</x:v>
      </x:c>
      <x:c r="AK13" s="168" t="n">
        <x:f>'Personnel &amp; Opex'!AK27</x:f>
        <x:v>8750</x:v>
      </x:c>
    </x:row>
    <x:row r="14">
      <x:c r="A14" s="167" t="str">
        <x:v>Direct COGS</x:v>
      </x:c>
      <x:c r="B14" s="168" t="n">
        <x:f>'Personnel &amp; Opex'!B28</x:f>
        <x:v>0</x:v>
      </x:c>
      <x:c r="C14" s="168" t="n">
        <x:f>'Personnel &amp; Opex'!C28</x:f>
        <x:v>0</x:v>
      </x:c>
      <x:c r="D14" s="168" t="n">
        <x:f>'Personnel &amp; Opex'!D28</x:f>
        <x:v>0</x:v>
      </x:c>
      <x:c r="E14" s="168" t="n">
        <x:f>'Personnel &amp; Opex'!E28</x:f>
        <x:v>0</x:v>
      </x:c>
      <x:c r="F14" s="168" t="n">
        <x:f>'Personnel &amp; Opex'!F28</x:f>
        <x:v>0</x:v>
      </x:c>
      <x:c r="G14" s="168" t="n">
        <x:f>'Personnel &amp; Opex'!G28</x:f>
        <x:v>270</x:v>
      </x:c>
      <x:c r="H14" s="168" t="n">
        <x:f>'Personnel &amp; Opex'!H28</x:f>
        <x:v>270</x:v>
      </x:c>
      <x:c r="I14" s="168" t="n">
        <x:f>'Personnel &amp; Opex'!I28</x:f>
        <x:v>540</x:v>
      </x:c>
      <x:c r="J14" s="168" t="n">
        <x:f>'Personnel &amp; Opex'!J28</x:f>
        <x:v>540</x:v>
      </x:c>
      <x:c r="K14" s="168" t="n">
        <x:f>'Personnel &amp; Opex'!K28</x:f>
        <x:v>810</x:v>
      </x:c>
      <x:c r="L14" s="168" t="n">
        <x:f>'Personnel &amp; Opex'!L28</x:f>
        <x:v>810</x:v>
      </x:c>
      <x:c r="M14" s="168" t="n">
        <x:f>'Personnel &amp; Opex'!M28</x:f>
        <x:v>1080</x:v>
      </x:c>
      <x:c r="N14" s="168" t="n">
        <x:f>'Personnel &amp; Opex'!N28</x:f>
        <x:v>1080</x:v>
      </x:c>
      <x:c r="O14" s="168" t="n">
        <x:f>'Personnel &amp; Opex'!O28</x:f>
        <x:v>1452.6</x:v>
      </x:c>
      <x:c r="P14" s="168" t="n">
        <x:f>'Personnel &amp; Opex'!P28</x:f>
        <x:v>1825.2</x:v>
      </x:c>
      <x:c r="Q14" s="168" t="n">
        <x:f>'Personnel &amp; Opex'!Q28</x:f>
        <x:v>1825.2</x:v>
      </x:c>
      <x:c r="R14" s="168" t="n">
        <x:f>'Personnel &amp; Opex'!R28</x:f>
        <x:v>2197.7999999999997</x:v>
      </x:c>
      <x:c r="S14" s="168" t="n">
        <x:f>'Personnel &amp; Opex'!S28</x:f>
        <x:v>2570.4</x:v>
      </x:c>
      <x:c r="T14" s="168" t="n">
        <x:f>'Personnel &amp; Opex'!T28</x:f>
        <x:v>2570.4</x:v>
      </x:c>
      <x:c r="U14" s="168" t="n">
        <x:f>'Personnel &amp; Opex'!U28</x:f>
        <x:v>2943</x:v>
      </x:c>
      <x:c r="V14" s="168" t="n">
        <x:f>'Personnel &amp; Opex'!V28</x:f>
        <x:v>3315.6</x:v>
      </x:c>
      <x:c r="W14" s="168" t="n">
        <x:f>'Personnel &amp; Opex'!W28</x:f>
        <x:v>3315.6</x:v>
      </x:c>
      <x:c r="X14" s="168" t="n">
        <x:f>'Personnel &amp; Opex'!X28</x:f>
        <x:v>3688.2</x:v>
      </x:c>
      <x:c r="Y14" s="168" t="n">
        <x:f>'Personnel &amp; Opex'!Y28</x:f>
        <x:v>4060.7999999999997</x:v>
      </x:c>
      <x:c r="Z14" s="168" t="n">
        <x:f>'Personnel &amp; Opex'!Z28</x:f>
        <x:v>4060.7999999999997</x:v>
      </x:c>
      <x:c r="AA14" s="168" t="n">
        <x:f>'Personnel &amp; Opex'!AA28</x:f>
        <x:v>4433.4</x:v>
      </x:c>
      <x:c r="AB14" s="168" t="n">
        <x:f>'Personnel &amp; Opex'!AB28</x:f>
        <x:v>4806</x:v>
      </x:c>
      <x:c r="AC14" s="168" t="n">
        <x:f>'Personnel &amp; Opex'!AC28</x:f>
        <x:v>5178.599999999999</x:v>
      </x:c>
      <x:c r="AD14" s="168" t="n">
        <x:f>'Personnel &amp; Opex'!AD28</x:f>
        <x:v>5551.2</x:v>
      </x:c>
      <x:c r="AE14" s="168" t="n">
        <x:f>'Personnel &amp; Opex'!AE28</x:f>
        <x:v>5923.8</x:v>
      </x:c>
      <x:c r="AF14" s="168" t="n">
        <x:f>'Personnel &amp; Opex'!AF28</x:f>
        <x:v>6296.4</x:v>
      </x:c>
      <x:c r="AG14" s="168" t="n">
        <x:f>'Personnel &amp; Opex'!AG28</x:f>
        <x:v>6669</x:v>
      </x:c>
      <x:c r="AH14" s="168" t="n">
        <x:f>'Personnel &amp; Opex'!AH28</x:f>
        <x:v>7041.599999999999</x:v>
      </x:c>
      <x:c r="AI14" s="168" t="n">
        <x:f>'Personnel &amp; Opex'!AI28</x:f>
        <x:v>7414.2</x:v>
      </x:c>
      <x:c r="AJ14" s="168" t="n">
        <x:f>'Personnel &amp; Opex'!AJ28</x:f>
        <x:v>7786.799999999999</x:v>
      </x:c>
      <x:c r="AK14" s="168" t="n">
        <x:f>'Personnel &amp; Opex'!AK28</x:f>
        <x:v>8532</x:v>
      </x:c>
    </x:row>
    <x:row r="15">
      <x:c r="A15" s="167" t="str">
        <x:v>Interest</x:v>
      </x:c>
      <x:c r="B15" s="168" t="n">
        <x:f>'Investment &amp; Funding'!B17</x:f>
        <x:v>753.3333333333334</x:v>
      </x:c>
      <x:c r="C15" s="168" t="n">
        <x:f>'Investment &amp; Funding'!C17</x:f>
        <x:v>753.3333333333334</x:v>
      </x:c>
      <x:c r="D15" s="168" t="n">
        <x:f>'Investment &amp; Funding'!D17</x:f>
        <x:v>753.3333333333334</x:v>
      </x:c>
      <x:c r="E15" s="168" t="n">
        <x:f>'Investment &amp; Funding'!E17</x:f>
        <x:v>753.3333333333334</x:v>
      </x:c>
      <x:c r="F15" s="168" t="n">
        <x:f>'Investment &amp; Funding'!F17</x:f>
        <x:v>753.3333333333334</x:v>
      </x:c>
      <x:c r="G15" s="168" t="n">
        <x:f>'Investment &amp; Funding'!G17</x:f>
        <x:v>753.3333333333334</x:v>
      </x:c>
      <x:c r="H15" s="168" t="n">
        <x:f>'Investment &amp; Funding'!H17</x:f>
        <x:v>753.3333333333334</x:v>
      </x:c>
      <x:c r="I15" s="168" t="n">
        <x:f>'Investment &amp; Funding'!I17</x:f>
        <x:v>753.3333333333334</x:v>
      </x:c>
      <x:c r="J15" s="168" t="n">
        <x:f>'Investment &amp; Funding'!J17</x:f>
        <x:v>753.3333333333334</x:v>
      </x:c>
      <x:c r="K15" s="168" t="n">
        <x:f>'Investment &amp; Funding'!K17</x:f>
        <x:v>753.3333333333334</x:v>
      </x:c>
      <x:c r="L15" s="168" t="n">
        <x:f>'Investment &amp; Funding'!L17</x:f>
        <x:v>753.3333333333334</x:v>
      </x:c>
      <x:c r="M15" s="168" t="n">
        <x:f>'Investment &amp; Funding'!M17</x:f>
        <x:v>753.3333333333334</x:v>
      </x:c>
      <x:c r="N15" s="168" t="n">
        <x:f>'Investment &amp; Funding'!N17</x:f>
        <x:v>753.3333333333334</x:v>
      </x:c>
      <x:c r="O15" s="168" t="n">
        <x:f>'Investment &amp; Funding'!O17</x:f>
        <x:v>753.3333333333334</x:v>
      </x:c>
      <x:c r="P15" s="168" t="n">
        <x:f>'Investment &amp; Funding'!P17</x:f>
        <x:v>753.3333333333334</x:v>
      </x:c>
      <x:c r="Q15" s="168" t="n">
        <x:f>'Investment &amp; Funding'!Q17</x:f>
        <x:v>753.3333333333334</x:v>
      </x:c>
      <x:c r="R15" s="168" t="n">
        <x:f>'Investment &amp; Funding'!R17</x:f>
        <x:v>753.3333333333334</x:v>
      </x:c>
      <x:c r="S15" s="168" t="n">
        <x:f>'Investment &amp; Funding'!S17</x:f>
        <x:v>753.3333333333334</x:v>
      </x:c>
      <x:c r="T15" s="168" t="n">
        <x:f>'Investment &amp; Funding'!T17</x:f>
        <x:v>753.3333333333334</x:v>
      </x:c>
      <x:c r="U15" s="168" t="n">
        <x:f>'Investment &amp; Funding'!U17</x:f>
        <x:v>753.3333333333334</x:v>
      </x:c>
      <x:c r="V15" s="168" t="n">
        <x:f>'Investment &amp; Funding'!V17</x:f>
        <x:v>753.3333333333334</x:v>
      </x:c>
      <x:c r="W15" s="168" t="n">
        <x:f>'Investment &amp; Funding'!W17</x:f>
        <x:v>753.3333333333334</x:v>
      </x:c>
      <x:c r="X15" s="168" t="n">
        <x:f>'Investment &amp; Funding'!X17</x:f>
        <x:v>753.3333333333334</x:v>
      </x:c>
      <x:c r="Y15" s="168" t="n">
        <x:f>'Investment &amp; Funding'!Y17</x:f>
        <x:v>753.3333333333334</x:v>
      </x:c>
      <x:c r="Z15" s="168" t="n">
        <x:f>'Investment &amp; Funding'!Z17</x:f>
        <x:v>753.3333333333334</x:v>
      </x:c>
      <x:c r="AA15" s="168" t="n">
        <x:f>'Investment &amp; Funding'!AA17</x:f>
        <x:v>745.486111111111</x:v>
      </x:c>
      <x:c r="AB15" s="168" t="n">
        <x:f>'Investment &amp; Funding'!AB17</x:f>
        <x:v>737.6388888888888</x:v>
      </x:c>
      <x:c r="AC15" s="168" t="n">
        <x:f>'Investment &amp; Funding'!AC17</x:f>
        <x:v>729.7916666666665</x:v>
      </x:c>
      <x:c r="AD15" s="168" t="n">
        <x:f>'Investment &amp; Funding'!AD17</x:f>
        <x:v>721.9444444444442</x:v>
      </x:c>
      <x:c r="AE15" s="168" t="n">
        <x:f>'Investment &amp; Funding'!AE17</x:f>
        <x:v>714.0972222222221</x:v>
      </x:c>
      <x:c r="AF15" s="168" t="n">
        <x:f>'Investment &amp; Funding'!AF17</x:f>
        <x:v>706.2499999999997</x:v>
      </x:c>
      <x:c r="AG15" s="168" t="n">
        <x:f>'Investment &amp; Funding'!AG17</x:f>
        <x:v>698.4027777777775</x:v>
      </x:c>
      <x:c r="AH15" s="168" t="n">
        <x:f>'Investment &amp; Funding'!AH17</x:f>
        <x:v>690.5555555555552</x:v>
      </x:c>
      <x:c r="AI15" s="168" t="n">
        <x:f>'Investment &amp; Funding'!AI17</x:f>
        <x:v>682.708333333333</x:v>
      </x:c>
      <x:c r="AJ15" s="168" t="n">
        <x:f>'Investment &amp; Funding'!AJ17</x:f>
        <x:v>674.8611111111107</x:v>
      </x:c>
      <x:c r="AK15" s="168" t="n">
        <x:f>'Investment &amp; Funding'!AK17</x:f>
        <x:v>667.0138888888885</x:v>
      </x:c>
    </x:row>
    <x:row r="16">
      <x:c r="A16" s="167" t="str">
        <x:v>Principal</x:v>
      </x:c>
      <x:c r="B16" s="168" t="n">
        <x:f>'Investment &amp; Funding'!B18</x:f>
        <x:v>0</x:v>
      </x:c>
      <x:c r="C16" s="168" t="n">
        <x:f>'Investment &amp; Funding'!C18</x:f>
        <x:v>0</x:v>
      </x:c>
      <x:c r="D16" s="168" t="n">
        <x:f>'Investment &amp; Funding'!D18</x:f>
        <x:v>0</x:v>
      </x:c>
      <x:c r="E16" s="168" t="n">
        <x:f>'Investment &amp; Funding'!E18</x:f>
        <x:v>0</x:v>
      </x:c>
      <x:c r="F16" s="168" t="n">
        <x:f>'Investment &amp; Funding'!F18</x:f>
        <x:v>0</x:v>
      </x:c>
      <x:c r="G16" s="168" t="n">
        <x:f>'Investment &amp; Funding'!G18</x:f>
        <x:v>0</x:v>
      </x:c>
      <x:c r="H16" s="168" t="n">
        <x:f>'Investment &amp; Funding'!H18</x:f>
        <x:v>0</x:v>
      </x:c>
      <x:c r="I16" s="168" t="n">
        <x:f>'Investment &amp; Funding'!I18</x:f>
        <x:v>0</x:v>
      </x:c>
      <x:c r="J16" s="168" t="n">
        <x:f>'Investment &amp; Funding'!J18</x:f>
        <x:v>0</x:v>
      </x:c>
      <x:c r="K16" s="168" t="n">
        <x:f>'Investment &amp; Funding'!K18</x:f>
        <x:v>0</x:v>
      </x:c>
      <x:c r="L16" s="168" t="n">
        <x:f>'Investment &amp; Funding'!L18</x:f>
        <x:v>0</x:v>
      </x:c>
      <x:c r="M16" s="168" t="n">
        <x:f>'Investment &amp; Funding'!M18</x:f>
        <x:v>0</x:v>
      </x:c>
      <x:c r="N16" s="168" t="n">
        <x:f>'Investment &amp; Funding'!N18</x:f>
        <x:v>0</x:v>
      </x:c>
      <x:c r="O16" s="168" t="n">
        <x:f>'Investment &amp; Funding'!O18</x:f>
        <x:v>0</x:v>
      </x:c>
      <x:c r="P16" s="168" t="n">
        <x:f>'Investment &amp; Funding'!P18</x:f>
        <x:v>0</x:v>
      </x:c>
      <x:c r="Q16" s="168" t="n">
        <x:f>'Investment &amp; Funding'!Q18</x:f>
        <x:v>0</x:v>
      </x:c>
      <x:c r="R16" s="168" t="n">
        <x:f>'Investment &amp; Funding'!R18</x:f>
        <x:v>0</x:v>
      </x:c>
      <x:c r="S16" s="168" t="n">
        <x:f>'Investment &amp; Funding'!S18</x:f>
        <x:v>0</x:v>
      </x:c>
      <x:c r="T16" s="168" t="n">
        <x:f>'Investment &amp; Funding'!T18</x:f>
        <x:v>0</x:v>
      </x:c>
      <x:c r="U16" s="168" t="n">
        <x:f>'Investment &amp; Funding'!U18</x:f>
        <x:v>0</x:v>
      </x:c>
      <x:c r="V16" s="168" t="n">
        <x:f>'Investment &amp; Funding'!V18</x:f>
        <x:v>0</x:v>
      </x:c>
      <x:c r="W16" s="168" t="n">
        <x:f>'Investment &amp; Funding'!W18</x:f>
        <x:v>0</x:v>
      </x:c>
      <x:c r="X16" s="168" t="n">
        <x:f>'Investment &amp; Funding'!X18</x:f>
        <x:v>0</x:v>
      </x:c>
      <x:c r="Y16" s="168" t="n">
        <x:f>'Investment &amp; Funding'!Y18</x:f>
        <x:v>0</x:v>
      </x:c>
      <x:c r="Z16" s="168" t="n">
        <x:f>'Investment &amp; Funding'!Z18</x:f>
        <x:v>2083.3333333333335</x:v>
      </x:c>
      <x:c r="AA16" s="168" t="n">
        <x:f>'Investment &amp; Funding'!AA18</x:f>
        <x:v>2083.3333333333335</x:v>
      </x:c>
      <x:c r="AB16" s="168" t="n">
        <x:f>'Investment &amp; Funding'!AB18</x:f>
        <x:v>2083.3333333333335</x:v>
      </x:c>
      <x:c r="AC16" s="168" t="n">
        <x:f>'Investment &amp; Funding'!AC18</x:f>
        <x:v>2083.3333333333335</x:v>
      </x:c>
      <x:c r="AD16" s="168" t="n">
        <x:f>'Investment &amp; Funding'!AD18</x:f>
        <x:v>2083.3333333333335</x:v>
      </x:c>
      <x:c r="AE16" s="168" t="n">
        <x:f>'Investment &amp; Funding'!AE18</x:f>
        <x:v>2083.3333333333335</x:v>
      </x:c>
      <x:c r="AF16" s="168" t="n">
        <x:f>'Investment &amp; Funding'!AF18</x:f>
        <x:v>2083.3333333333335</x:v>
      </x:c>
      <x:c r="AG16" s="168" t="n">
        <x:f>'Investment &amp; Funding'!AG18</x:f>
        <x:v>2083.3333333333335</x:v>
      </x:c>
      <x:c r="AH16" s="168" t="n">
        <x:f>'Investment &amp; Funding'!AH18</x:f>
        <x:v>2083.3333333333335</x:v>
      </x:c>
      <x:c r="AI16" s="168" t="n">
        <x:f>'Investment &amp; Funding'!AI18</x:f>
        <x:v>2083.3333333333335</x:v>
      </x:c>
      <x:c r="AJ16" s="168" t="n">
        <x:f>'Investment &amp; Funding'!AJ18</x:f>
        <x:v>2083.3333333333335</x:v>
      </x:c>
      <x:c r="AK16" s="168" t="n">
        <x:f>'Investment &amp; Funding'!AK18</x:f>
        <x:v>2083.3333333333335</x:v>
      </x:c>
    </x:row>
    <x:row r="17">
      <x:c r="A17" s="169" t="str">
        <x:v>Total cash outflow</x:v>
      </x:c>
      <x:c r="B17" s="170" t="n">
        <x:f>SUM(B11:B16)</x:f>
        <x:v>29919.999999333333</x:v>
      </x:c>
      <x:c r="C17" s="170" t="n">
        <x:f>SUM(C11:C16)</x:f>
        <x:v>3919.9999993333336</x:v>
      </x:c>
      <x:c r="D17" s="170" t="n">
        <x:f>SUM(D11:D16)</x:f>
        <x:v>23919.999999333333</x:v>
      </x:c>
      <x:c r="E17" s="170" t="n">
        <x:f>SUM(E11:E16)</x:f>
        <x:v>7919.999999333333</x:v>
      </x:c>
      <x:c r="F17" s="170" t="n">
        <x:f>SUM(F11:F16)</x:f>
        <x:v>23919.999999333333</x:v>
      </x:c>
      <x:c r="G17" s="170" t="n">
        <x:f>SUM(G11:G16)</x:f>
        <x:v>4189.999999333333</x:v>
      </x:c>
      <x:c r="H17" s="170" t="n">
        <x:f>SUM(H11:H16)</x:f>
        <x:v>24189.999999333333</x:v>
      </x:c>
      <x:c r="I17" s="170" t="n">
        <x:f>SUM(I11:I16)</x:f>
        <x:v>4459.999999333333</x:v>
      </x:c>
      <x:c r="J17" s="170" t="n">
        <x:f>SUM(J11:J16)</x:f>
        <x:v>19459.999999333333</x:v>
      </x:c>
      <x:c r="K17" s="170" t="n">
        <x:f>SUM(K11:K16)</x:f>
        <x:v>4729.999999333333</x:v>
      </x:c>
      <x:c r="L17" s="170" t="n">
        <x:f>SUM(L11:L16)</x:f>
        <x:v>19729.999999333333</x:v>
      </x:c>
      <x:c r="M17" s="170" t="n">
        <x:f>SUM(M11:M16)</x:f>
        <x:v>4999.999999333333</x:v>
      </x:c>
      <x:c r="N17" s="170" t="n">
        <x:f>SUM(N11:N16)</x:f>
        <x:v>20633.333333333332</x:v>
      </x:c>
      <x:c r="O17" s="170" t="n">
        <x:f>SUM(O11:O16)</x:f>
        <x:v>21005.93333333333</x:v>
      </x:c>
      <x:c r="P17" s="170" t="n">
        <x:f>SUM(P11:P16)</x:f>
        <x:v>21378.533333333333</x:v>
      </x:c>
      <x:c r="Q17" s="170" t="n">
        <x:f>SUM(Q11:Q16)</x:f>
        <x:v>21378.533333333333</x:v>
      </x:c>
      <x:c r="R17" s="170" t="n">
        <x:f>SUM(R11:R16)</x:f>
        <x:v>21751.13333333333</x:v>
      </x:c>
      <x:c r="S17" s="170" t="n">
        <x:f>SUM(S11:S16)</x:f>
        <x:v>22123.733333333334</x:v>
      </x:c>
      <x:c r="T17" s="170" t="n">
        <x:f>SUM(T11:T16)</x:f>
        <x:v>22123.733333333334</x:v>
      </x:c>
      <x:c r="U17" s="170" t="n">
        <x:f>SUM(U11:U16)</x:f>
        <x:v>29096.333333333332</x:v>
      </x:c>
      <x:c r="V17" s="170" t="n">
        <x:f>SUM(V11:V16)</x:f>
        <x:v>29468.93333333333</x:v>
      </x:c>
      <x:c r="W17" s="170" t="n">
        <x:f>SUM(W11:W16)</x:f>
        <x:v>29468.93333333333</x:v>
      </x:c>
      <x:c r="X17" s="170" t="n">
        <x:f>SUM(X11:X16)</x:f>
        <x:v>29841.533333333333</x:v>
      </x:c>
      <x:c r="Y17" s="170" t="n">
        <x:f>SUM(Y11:Y16)</x:f>
        <x:v>30214.13333333333</x:v>
      </x:c>
      <x:c r="Z17" s="170" t="n">
        <x:f>SUM(Z11:Z16)</x:f>
        <x:v>37847.466666666674</x:v>
      </x:c>
      <x:c r="AA17" s="170" t="n">
        <x:f>SUM(AA11:AA16)</x:f>
        <x:v>38212.21944444445</x:v>
      </x:c>
      <x:c r="AB17" s="170" t="n">
        <x:f>SUM(AB11:AB16)</x:f>
        <x:v>38576.972222222226</x:v>
      </x:c>
      <x:c r="AC17" s="170" t="n">
        <x:f>SUM(AC11:AC16)</x:f>
        <x:v>44341.725</x:v>
      </x:c>
      <x:c r="AD17" s="170" t="n">
        <x:f>SUM(AD11:AD16)</x:f>
        <x:v>44706.47777777778</x:v>
      </x:c>
      <x:c r="AE17" s="170" t="n">
        <x:f>SUM(AE11:AE16)</x:f>
        <x:v>45071.23055555556</x:v>
      </x:c>
      <x:c r="AF17" s="170" t="n">
        <x:f>SUM(AF11:AF16)</x:f>
        <x:v>51435.98333333334</x:v>
      </x:c>
      <x:c r="AG17" s="170" t="n">
        <x:f>SUM(AG11:AG16)</x:f>
        <x:v>51800.73611111112</x:v>
      </x:c>
      <x:c r="AH17" s="170" t="n">
        <x:f>SUM(AH11:AH16)</x:f>
        <x:v>52165.48888888889</x:v>
      </x:c>
      <x:c r="AI17" s="170" t="n">
        <x:f>SUM(AI11:AI16)</x:f>
        <x:v>52530.24166666667</x:v>
      </x:c>
      <x:c r="AJ17" s="170" t="n">
        <x:f>SUM(AJ11:AJ16)</x:f>
        <x:v>52894.99444444445</x:v>
      </x:c>
      <x:c r="AK17" s="170" t="n">
        <x:f>SUM(AK11:AK16)</x:f>
        <x:v>53632.347222222226</x:v>
      </x:c>
    </x:row>
    <x:row r="18">
      <x:c r="A18" s="167" t="str"/>
      <x:c r="B18" s="168"/>
      <x:c r="C18" s="168"/>
      <x:c r="D18" s="168"/>
      <x:c r="E18" s="168"/>
      <x:c r="F18" s="168"/>
      <x:c r="G18" s="168"/>
      <x:c r="H18" s="168"/>
      <x:c r="I18" s="168"/>
      <x:c r="J18" s="168"/>
      <x:c r="K18" s="168"/>
      <x:c r="L18" s="168"/>
      <x:c r="M18" s="168"/>
      <x:c r="N18" s="168"/>
      <x:c r="O18" s="168"/>
      <x:c r="P18" s="168"/>
      <x:c r="Q18" s="168"/>
      <x:c r="R18" s="168"/>
      <x:c r="S18" s="168"/>
      <x:c r="T18" s="168"/>
      <x:c r="U18" s="168"/>
      <x:c r="V18" s="168"/>
      <x:c r="W18" s="168"/>
      <x:c r="X18" s="168"/>
      <x:c r="Y18" s="168"/>
      <x:c r="Z18" s="168"/>
      <x:c r="AA18" s="168"/>
      <x:c r="AB18" s="168"/>
      <x:c r="AC18" s="168"/>
      <x:c r="AD18" s="168"/>
      <x:c r="AE18" s="168"/>
      <x:c r="AF18" s="168"/>
      <x:c r="AG18" s="168"/>
      <x:c r="AH18" s="168"/>
      <x:c r="AI18" s="168"/>
      <x:c r="AJ18" s="168"/>
      <x:c r="AK18" s="168"/>
    </x:row>
    <x:row r="19">
      <x:c r="A19" s="171" t="str">
        <x:v>Net monthly cash flow</x:v>
      </x:c>
      <x:c r="B19" s="172" t="n">
        <x:f>B9-B17</x:f>
        <x:v>170080.00000066665</x:v>
      </x:c>
      <x:c r="C19" s="172" t="n">
        <x:f>C9-C17</x:f>
        <x:v>-3919.9999993333336</x:v>
      </x:c>
      <x:c r="D19" s="172" t="n">
        <x:f>D9-D17</x:f>
        <x:v>-23919.999999333333</x:v>
      </x:c>
      <x:c r="E19" s="172" t="n">
        <x:f>E9-E17</x:f>
        <x:v>-7919.999999333333</x:v>
      </x:c>
      <x:c r="F19" s="172" t="n">
        <x:f>F9-F17</x:f>
        <x:v>-23919.999999333333</x:v>
      </x:c>
      <x:c r="G19" s="172" t="n">
        <x:f>G9-G17</x:f>
        <x:v>810.0000006666669</x:v>
      </x:c>
      <x:c r="H19" s="172" t="n">
        <x:f>H9-H17</x:f>
        <x:v>-21939.999999333333</x:v>
      </x:c>
      <x:c r="I19" s="172" t="n">
        <x:f>I9-I17</x:f>
        <x:v>2790.000000666667</x:v>
      </x:c>
      <x:c r="J19" s="172" t="n">
        <x:f>J9-J17</x:f>
        <x:v>-14959.999999333333</x:v>
      </x:c>
      <x:c r="K19" s="172" t="n">
        <x:f>K9-K17</x:f>
        <x:v>4770.000000666667</x:v>
      </x:c>
      <x:c r="L19" s="172" t="n">
        <x:f>L9-L17</x:f>
        <x:v>-12979.999999333333</x:v>
      </x:c>
      <x:c r="M19" s="172" t="n">
        <x:f>M9-M17</x:f>
        <x:v>6750.000000666667</x:v>
      </x:c>
      <x:c r="N19" s="172" t="n">
        <x:f>N9-N17</x:f>
        <x:v>-11633.333333333332</x:v>
      </x:c>
      <x:c r="O19" s="172" t="n">
        <x:f>O9-O17</x:f>
        <x:v>-7005.933333333331</x:v>
      </x:c>
      <x:c r="P19" s="172" t="n">
        <x:f>P9-P17</x:f>
        <x:v>-4273.533333333333</x:v>
      </x:c>
      <x:c r="Q19" s="172" t="n">
        <x:f>Q9-Q17</x:f>
        <x:v>-6168.533333333333</x:v>
      </x:c>
      <x:c r="R19" s="172" t="n">
        <x:f>R9-R17</x:f>
        <x:v>-1541.1333333333314</x:v>
      </x:c>
      <x:c r="S19" s="172" t="n">
        <x:f>S9-S17</x:f>
        <x:v>1191.2666666666664</x:v>
      </x:c>
      <x:c r="T19" s="172" t="n">
        <x:f>T9-T17</x:f>
        <x:v>-703.7333333333336</x:v>
      </x:c>
      <x:c r="U19" s="172" t="n">
        <x:f>U9-U17</x:f>
        <x:v>-2676.333333333332</x:v>
      </x:c>
      <x:c r="V19" s="172" t="n">
        <x:f>V9-V17</x:f>
        <x:v>56.066666666669335</x:v>
      </x:c>
      <x:c r="W19" s="172" t="n">
        <x:f>W9-W17</x:f>
        <x:v>-1838.9333333333307</x:v>
      </x:c>
      <x:c r="X19" s="172" t="n">
        <x:f>X9-X17</x:f>
        <x:v>2788.466666666667</x:v>
      </x:c>
      <x:c r="Y19" s="172" t="n">
        <x:f>Y9-Y17</x:f>
        <x:v>5520.866666666669</x:v>
      </x:c>
      <x:c r="Z19" s="172" t="n">
        <x:f>Z9-Z17</x:f>
        <x:v>-4007.4666666666744</x:v>
      </x:c>
      <x:c r="AA19" s="172" t="n">
        <x:f>AA9-AA17</x:f>
        <x:v>627.7805555555533</x:v>
      </x:c>
      <x:c r="AB19" s="172" t="n">
        <x:f>AB9-AB17</x:f>
        <x:v>3368.0277777777737</x:v>
      </x:c>
      <x:c r="AC19" s="172" t="n">
        <x:f>AC9-AC17</x:f>
        <x:v>708.2750000000015</x:v>
      </x:c>
      <x:c r="AD19" s="172" t="n">
        <x:f>AD9-AD17</x:f>
        <x:v>3448.522222222222</x:v>
      </x:c>
      <x:c r="AE19" s="172" t="n">
        <x:f>AE9-AE17</x:f>
        <x:v>6188.769444444442</x:v>
      </x:c>
      <x:c r="AF19" s="172" t="n">
        <x:f>AF9-AF17</x:f>
        <x:v>2929.016666666663</x:v>
      </x:c>
      <x:c r="AG19" s="172" t="n">
        <x:f>AG9-AG17</x:f>
        <x:v>5669.263888888883</x:v>
      </x:c>
      <x:c r="AH19" s="172" t="n">
        <x:f>AH9-AH17</x:f>
        <x:v>8409.511111111111</x:v>
      </x:c>
      <x:c r="AI19" s="172" t="n">
        <x:f>AI9-AI17</x:f>
        <x:v>11149.758333333331</x:v>
      </x:c>
      <x:c r="AJ19" s="172" t="n">
        <x:f>AJ9-AJ17</x:f>
        <x:v>13890.005555555552</x:v>
      </x:c>
      <x:c r="AK19" s="172" t="n">
        <x:f>AK9-AK17</x:f>
        <x:v>21257.652777777774</x:v>
      </x:c>
    </x:row>
    <x:row r="20">
      <x:c r="A20" s="173" t="str">
        <x:v>Ending cash</x:v>
      </x:c>
      <x:c r="B20" s="174" t="n">
        <x:f>B5+B19</x:f>
        <x:v>170080.00000066665</x:v>
      </x:c>
      <x:c r="C20" s="174" t="n">
        <x:f>C5+C19</x:f>
        <x:v>166160.0000013333</x:v>
      </x:c>
      <x:c r="D20" s="174" t="n">
        <x:f>D5+D19</x:f>
        <x:v>142240.00000199996</x:v>
      </x:c>
      <x:c r="E20" s="174" t="n">
        <x:f>E5+E19</x:f>
        <x:v>134320.0000026666</x:v>
      </x:c>
      <x:c r="F20" s="174" t="n">
        <x:f>F5+F19</x:f>
        <x:v>110400.00000333328</x:v>
      </x:c>
      <x:c r="G20" s="174" t="n">
        <x:f>G5+G19</x:f>
        <x:v>111210.00000399994</x:v>
      </x:c>
      <x:c r="H20" s="174" t="n">
        <x:f>H5+H19</x:f>
        <x:v>89270.00000466661</x:v>
      </x:c>
      <x:c r="I20" s="174" t="n">
        <x:f>I5+I19</x:f>
        <x:v>92060.00000533328</x:v>
      </x:c>
      <x:c r="J20" s="174" t="n">
        <x:f>J5+J19</x:f>
        <x:v>77100.00000599994</x:v>
      </x:c>
      <x:c r="K20" s="174" t="n">
        <x:f>K5+K19</x:f>
        <x:v>81870.00000666661</x:v>
      </x:c>
      <x:c r="L20" s="174" t="n">
        <x:f>L5+L19</x:f>
        <x:v>68890.00000733328</x:v>
      </x:c>
      <x:c r="M20" s="174" t="n">
        <x:f>M5+M19</x:f>
        <x:v>75640.00000799994</x:v>
      </x:c>
      <x:c r="N20" s="174" t="n">
        <x:f>N5+N19</x:f>
        <x:v>64006.666674666616</x:v>
      </x:c>
      <x:c r="O20" s="174" t="n">
        <x:f>O5+O19</x:f>
        <x:v>57000.73334133328</x:v>
      </x:c>
      <x:c r="P20" s="174" t="n">
        <x:f>P5+P19</x:f>
        <x:v>52727.20000799995</x:v>
      </x:c>
      <x:c r="Q20" s="174" t="n">
        <x:f>Q5+Q19</x:f>
        <x:v>46558.666674666616</x:v>
      </x:c>
      <x:c r="R20" s="174" t="n">
        <x:f>R5+R19</x:f>
        <x:v>45017.533341333285</x:v>
      </x:c>
      <x:c r="S20" s="174" t="n">
        <x:f>S5+S19</x:f>
        <x:v>46208.80000799995</x:v>
      </x:c>
      <x:c r="T20" s="174" t="n">
        <x:f>T5+T19</x:f>
        <x:v>45505.06667466661</x:v>
      </x:c>
      <x:c r="U20" s="174" t="n">
        <x:f>U5+U19</x:f>
        <x:v>42828.73334133328</x:v>
      </x:c>
      <x:c r="V20" s="174" t="n">
        <x:f>V5+V19</x:f>
        <x:v>42884.80000799995</x:v>
      </x:c>
      <x:c r="W20" s="174" t="n">
        <x:f>W5+W19</x:f>
        <x:v>41045.86667466661</x:v>
      </x:c>
      <x:c r="X20" s="174" t="n">
        <x:f>X5+X19</x:f>
        <x:v>43834.33334133328</x:v>
      </x:c>
      <x:c r="Y20" s="174" t="n">
        <x:f>Y5+Y19</x:f>
        <x:v>49355.20000799995</x:v>
      </x:c>
      <x:c r="Z20" s="174" t="n">
        <x:f>Z5+Z19</x:f>
        <x:v>45347.733341333274</x:v>
      </x:c>
      <x:c r="AA20" s="174" t="n">
        <x:f>AA5+AA19</x:f>
        <x:v>45975.51389688883</x:v>
      </x:c>
      <x:c r="AB20" s="174" t="n">
        <x:f>AB5+AB19</x:f>
        <x:v>49343.5416746666</x:v>
      </x:c>
      <x:c r="AC20" s="174" t="n">
        <x:f>AC5+AC19</x:f>
        <x:v>50051.8166746666</x:v>
      </x:c>
      <x:c r="AD20" s="174" t="n">
        <x:f>AD5+AD19</x:f>
        <x:v>53500.338896888825</x:v>
      </x:c>
      <x:c r="AE20" s="174" t="n">
        <x:f>AE5+AE19</x:f>
        <x:v>59689.10834133327</x:v>
      </x:c>
      <x:c r="AF20" s="174" t="n">
        <x:f>AF5+AF19</x:f>
        <x:v>62618.12500799993</x:v>
      </x:c>
      <x:c r="AG20" s="174" t="n">
        <x:f>AG5+AG19</x:f>
        <x:v>68287.38889688882</x:v>
      </x:c>
      <x:c r="AH20" s="174" t="n">
        <x:f>AH5+AH19</x:f>
        <x:v>76696.90000799994</x:v>
      </x:c>
      <x:c r="AI20" s="174" t="n">
        <x:f>AI5+AI19</x:f>
        <x:v>87846.65834133327</x:v>
      </x:c>
      <x:c r="AJ20" s="174" t="n">
        <x:f>AJ5+AJ19</x:f>
        <x:v>101736.66389688881</x:v>
      </x:c>
      <x:c r="AK20" s="174" t="n">
        <x:f>AK5+AK19</x:f>
        <x:v>122994.3166746666</x:v>
      </x:c>
    </x:row>
    <x:row r="21">
      <x:c r="A21" s="175" t="str">
        <x:v>Headroom vs. 30k reserve</x:v>
      </x:c>
      <x:c r="B21" s="176" t="n">
        <x:f>B20-'Assumptions'!$B$11</x:f>
        <x:v>140080.00000066665</x:v>
      </x:c>
      <x:c r="C21" s="176" t="n">
        <x:f>C20-'Assumptions'!$B$11</x:f>
        <x:v>136160.0000013333</x:v>
      </x:c>
      <x:c r="D21" s="176" t="n">
        <x:f>D20-'Assumptions'!$B$11</x:f>
        <x:v>112240.00000199996</x:v>
      </x:c>
      <x:c r="E21" s="176" t="n">
        <x:f>E20-'Assumptions'!$B$11</x:f>
        <x:v>104320.00000266661</x:v>
      </x:c>
      <x:c r="F21" s="176" t="n">
        <x:f>F20-'Assumptions'!$B$11</x:f>
        <x:v>80400.00000333328</x:v>
      </x:c>
      <x:c r="G21" s="176" t="n">
        <x:f>G20-'Assumptions'!$B$11</x:f>
        <x:v>81210.00000399994</x:v>
      </x:c>
      <x:c r="H21" s="176" t="n">
        <x:f>H20-'Assumptions'!$B$11</x:f>
        <x:v>59270.00000466661</x:v>
      </x:c>
      <x:c r="I21" s="176" t="n">
        <x:f>I20-'Assumptions'!$B$11</x:f>
        <x:v>62060.00000533328</x:v>
      </x:c>
      <x:c r="J21" s="176" t="n">
        <x:f>J20-'Assumptions'!$B$11</x:f>
        <x:v>47100.000005999944</x:v>
      </x:c>
      <x:c r="K21" s="176" t="n">
        <x:f>K20-'Assumptions'!$B$11</x:f>
        <x:v>51870.00000666661</x:v>
      </x:c>
      <x:c r="L21" s="176" t="n">
        <x:f>L20-'Assumptions'!$B$11</x:f>
        <x:v>38890.00000733328</x:v>
      </x:c>
      <x:c r="M21" s="176" t="n">
        <x:f>M20-'Assumptions'!$B$11</x:f>
        <x:v>45640.000007999945</x:v>
      </x:c>
      <x:c r="N21" s="176" t="n">
        <x:f>N20-'Assumptions'!$B$11</x:f>
        <x:v>34006.666674666616</x:v>
      </x:c>
      <x:c r="O21" s="176" t="n">
        <x:f>O20-'Assumptions'!$B$11</x:f>
        <x:v>27000.73334133328</x:v>
      </x:c>
      <x:c r="P21" s="176" t="n">
        <x:f>P20-'Assumptions'!$B$11</x:f>
        <x:v>22727.20000799995</x:v>
      </x:c>
      <x:c r="Q21" s="176" t="n">
        <x:f>Q20-'Assumptions'!$B$11</x:f>
        <x:v>16558.666674666616</x:v>
      </x:c>
      <x:c r="R21" s="176" t="n">
        <x:f>R20-'Assumptions'!$B$11</x:f>
        <x:v>15017.533341333285</x:v>
      </x:c>
      <x:c r="S21" s="176" t="n">
        <x:f>S20-'Assumptions'!$B$11</x:f>
        <x:v>16208.800007999947</x:v>
      </x:c>
      <x:c r="T21" s="176" t="n">
        <x:f>T20-'Assumptions'!$B$11</x:f>
        <x:v>15505.06667466661</x:v>
      </x:c>
      <x:c r="U21" s="176" t="n">
        <x:f>U20-'Assumptions'!$B$11</x:f>
        <x:v>12828.733341333282</x:v>
      </x:c>
      <x:c r="V21" s="176" t="n">
        <x:f>V20-'Assumptions'!$B$11</x:f>
        <x:v>12884.800007999947</x:v>
      </x:c>
      <x:c r="W21" s="176" t="n">
        <x:f>W20-'Assumptions'!$B$11</x:f>
        <x:v>11045.866674666613</x:v>
      </x:c>
      <x:c r="X21" s="176" t="n">
        <x:f>X20-'Assumptions'!$B$11</x:f>
        <x:v>13834.33334133328</x:v>
      </x:c>
      <x:c r="Y21" s="176" t="n">
        <x:f>Y20-'Assumptions'!$B$11</x:f>
        <x:v>19355.20000799995</x:v>
      </x:c>
      <x:c r="Z21" s="176" t="n">
        <x:f>Z20-'Assumptions'!$B$11</x:f>
        <x:v>15347.733341333274</x:v>
      </x:c>
      <x:c r="AA21" s="176" t="n">
        <x:f>AA20-'Assumptions'!$B$11</x:f>
        <x:v>15975.513896888828</x:v>
      </x:c>
      <x:c r="AB21" s="176" t="n">
        <x:f>AB20-'Assumptions'!$B$11</x:f>
        <x:v>19343.5416746666</x:v>
      </x:c>
      <x:c r="AC21" s="176" t="n">
        <x:f>AC20-'Assumptions'!$B$11</x:f>
        <x:v>20051.816674666603</x:v>
      </x:c>
      <x:c r="AD21" s="176" t="n">
        <x:f>AD20-'Assumptions'!$B$11</x:f>
        <x:v>23500.338896888825</x:v>
      </x:c>
      <x:c r="AE21" s="176" t="n">
        <x:f>AE20-'Assumptions'!$B$11</x:f>
        <x:v>29689.108341333267</x:v>
      </x:c>
      <x:c r="AF21" s="176" t="n">
        <x:f>AF20-'Assumptions'!$B$11</x:f>
        <x:v>32618.12500799993</x:v>
      </x:c>
      <x:c r="AG21" s="176" t="n">
        <x:f>AG20-'Assumptions'!$B$11</x:f>
        <x:v>38287.38889688882</x:v>
      </x:c>
      <x:c r="AH21" s="176" t="n">
        <x:f>AH20-'Assumptions'!$B$11</x:f>
        <x:v>46696.90000799994</x:v>
      </x:c>
      <x:c r="AI21" s="176" t="n">
        <x:f>AI20-'Assumptions'!$B$11</x:f>
        <x:v>57846.65834133327</x:v>
      </x:c>
      <x:c r="AJ21" s="176" t="n">
        <x:f>AJ20-'Assumptions'!$B$11</x:f>
        <x:v>71736.66389688881</x:v>
      </x:c>
      <x:c r="AK21" s="176" t="n">
        <x:f>AK20-'Assumptions'!$B$11</x:f>
        <x:v>92994.3166746666</x:v>
      </x:c>
    </x:row>
    <x:row r="22">
      <x:c r="A22" s="167"/>
      <x:c r="B22" s="167"/>
      <x:c r="C22" s="167"/>
      <x:c r="D22" s="167"/>
      <x:c r="E22" s="167"/>
      <x:c r="F22" s="167"/>
      <x:c r="G22" s="167"/>
      <x:c r="H22" s="167"/>
      <x:c r="I22" s="167"/>
      <x:c r="J22" s="167"/>
      <x:c r="K22" s="167"/>
      <x:c r="L22" s="167"/>
      <x:c r="M22" s="167"/>
      <x:c r="N22" s="167"/>
      <x:c r="O22" s="167"/>
      <x:c r="P22" s="167"/>
      <x:c r="Q22" s="167"/>
      <x:c r="R22" s="167"/>
      <x:c r="S22" s="167"/>
      <x:c r="T22" s="167"/>
      <x:c r="U22" s="167"/>
      <x:c r="V22" s="167"/>
      <x:c r="W22" s="167"/>
      <x:c r="X22" s="167"/>
      <x:c r="Y22" s="167"/>
      <x:c r="Z22" s="167"/>
      <x:c r="AA22" s="167"/>
      <x:c r="AB22" s="167"/>
      <x:c r="AC22" s="167"/>
      <x:c r="AD22" s="167"/>
      <x:c r="AE22" s="167"/>
      <x:c r="AF22" s="167"/>
      <x:c r="AG22" s="167"/>
      <x:c r="AH22" s="167"/>
      <x:c r="AI22" s="167"/>
      <x:c r="AJ22" s="167"/>
      <x:c r="AK22" s="167"/>
    </x:row>
    <x:row r="23">
      <x:c r="A23" s="167"/>
      <x:c r="B23" s="167"/>
      <x:c r="C23" s="167"/>
      <x:c r="D23" s="167"/>
      <x:c r="E23" s="167"/>
      <x:c r="F23" s="167"/>
      <x:c r="G23" s="167"/>
      <x:c r="H23" s="167"/>
      <x:c r="I23" s="167"/>
      <x:c r="J23" s="167"/>
      <x:c r="K23" s="167"/>
      <x:c r="L23" s="167"/>
      <x:c r="M23" s="167"/>
      <x:c r="N23" s="167"/>
      <x:c r="O23" s="167"/>
      <x:c r="P23" s="167"/>
      <x:c r="Q23" s="167"/>
      <x:c r="R23" s="167"/>
      <x:c r="S23" s="167"/>
      <x:c r="T23" s="167"/>
      <x:c r="U23" s="167"/>
      <x:c r="V23" s="167"/>
      <x:c r="W23" s="167"/>
      <x:c r="X23" s="167"/>
      <x:c r="Y23" s="167"/>
      <x:c r="Z23" s="167"/>
      <x:c r="AA23" s="167"/>
      <x:c r="AB23" s="167"/>
      <x:c r="AC23" s="167"/>
      <x:c r="AD23" s="167"/>
      <x:c r="AE23" s="167"/>
      <x:c r="AF23" s="167"/>
      <x:c r="AG23" s="167"/>
      <x:c r="AH23" s="167"/>
      <x:c r="AI23" s="167"/>
      <x:c r="AJ23" s="167"/>
      <x:c r="AK23" s="167"/>
    </x:row>
    <x:row r="24">
      <x:c r="A24" s="114" t="str">
        <x:v>Cash summary</x:v>
      </x:c>
      <x:c r="B24" s="115" t="str">
        <x:v>Year 1</x:v>
      </x:c>
      <x:c r="C24" s="115" t="str">
        <x:v>Year 2</x:v>
      </x:c>
      <x:c r="D24" s="116" t="str">
        <x:v>Year 3</x:v>
      </x:c>
      <x:c r="E24" s="167"/>
      <x:c r="F24" s="167"/>
      <x:c r="G24" s="167"/>
      <x:c r="H24" s="167"/>
      <x:c r="I24" s="167"/>
      <x:c r="J24" s="167"/>
      <x:c r="K24" s="167"/>
      <x:c r="L24" s="167"/>
      <x:c r="M24" s="167"/>
      <x:c r="N24" s="167"/>
      <x:c r="O24" s="167"/>
      <x:c r="P24" s="167"/>
      <x:c r="Q24" s="167"/>
      <x:c r="R24" s="167"/>
      <x:c r="S24" s="167"/>
      <x:c r="T24" s="167"/>
      <x:c r="U24" s="167"/>
      <x:c r="V24" s="167"/>
      <x:c r="W24" s="167"/>
      <x:c r="X24" s="167"/>
      <x:c r="Y24" s="167"/>
      <x:c r="Z24" s="167"/>
      <x:c r="AA24" s="167"/>
      <x:c r="AB24" s="167"/>
      <x:c r="AC24" s="167"/>
      <x:c r="AD24" s="167"/>
      <x:c r="AE24" s="167"/>
      <x:c r="AF24" s="167"/>
      <x:c r="AG24" s="167"/>
      <x:c r="AH24" s="167"/>
      <x:c r="AI24" s="167"/>
      <x:c r="AJ24" s="167"/>
      <x:c r="AK24" s="167"/>
    </x:row>
    <x:row r="25">
      <x:c r="A25" s="167" t="str">
        <x:v>Customer cash receipts</x:v>
      </x:c>
      <x:c r="B25" s="168" t="n">
        <x:f>SUM(B8:M8)</x:f>
        <x:v>47000</x:v>
      </x:c>
      <x:c r="C25" s="168" t="n">
        <x:f>SUM(N8:Y8)</x:f>
        <x:v>272200</x:v>
      </x:c>
      <x:c r="D25" s="168" t="n">
        <x:f>SUM(Z8:AK8)</x:f>
        <x:v>636855</x:v>
      </x:c>
      <x:c r="E25" s="167"/>
      <x:c r="F25" s="167"/>
      <x:c r="G25" s="167"/>
      <x:c r="H25" s="167"/>
      <x:c r="I25" s="167"/>
      <x:c r="J25" s="167"/>
      <x:c r="K25" s="167"/>
      <x:c r="L25" s="167"/>
      <x:c r="M25" s="167"/>
      <x:c r="N25" s="167"/>
      <x:c r="O25" s="167"/>
      <x:c r="P25" s="167"/>
      <x:c r="Q25" s="167"/>
      <x:c r="R25" s="167"/>
      <x:c r="S25" s="167"/>
      <x:c r="T25" s="167"/>
      <x:c r="U25" s="167"/>
      <x:c r="V25" s="167"/>
      <x:c r="W25" s="167"/>
      <x:c r="X25" s="167"/>
      <x:c r="Y25" s="167"/>
      <x:c r="Z25" s="167"/>
      <x:c r="AA25" s="167"/>
      <x:c r="AB25" s="167"/>
      <x:c r="AC25" s="167"/>
      <x:c r="AD25" s="167"/>
      <x:c r="AE25" s="167"/>
      <x:c r="AF25" s="167"/>
      <x:c r="AG25" s="167"/>
      <x:c r="AH25" s="167"/>
      <x:c r="AI25" s="167"/>
      <x:c r="AJ25" s="167"/>
      <x:c r="AK25" s="167"/>
    </x:row>
    <x:row r="26">
      <x:c r="A26" s="167" t="str">
        <x:v>Total operating cash cost</x:v>
      </x:c>
      <x:c r="B26" s="168" t="n">
        <x:f>SUM(B12:M14)</x:f>
        <x:v>42319.999992000005</x:v>
      </x:c>
      <x:c r="C26" s="168" t="n">
        <x:f>SUM(N12:Y14)</x:f>
        <x:v>289444.8</x:v>
      </x:c>
      <x:c r="D26" s="168" t="n">
        <x:f>SUM(Z12:AK14)</x:f>
        <x:v>529693.8</x:v>
      </x:c>
      <x:c r="E26" s="167"/>
      <x:c r="F26" s="167"/>
      <x:c r="G26" s="167"/>
      <x:c r="H26" s="167"/>
      <x:c r="I26" s="167"/>
      <x:c r="J26" s="167"/>
      <x:c r="K26" s="167"/>
      <x:c r="L26" s="167"/>
      <x:c r="M26" s="167"/>
      <x:c r="N26" s="167"/>
      <x:c r="O26" s="167"/>
      <x:c r="P26" s="167"/>
      <x:c r="Q26" s="167"/>
      <x:c r="R26" s="167"/>
      <x:c r="S26" s="167"/>
      <x:c r="T26" s="167"/>
      <x:c r="U26" s="167"/>
      <x:c r="V26" s="167"/>
      <x:c r="W26" s="167"/>
      <x:c r="X26" s="167"/>
      <x:c r="Y26" s="167"/>
      <x:c r="Z26" s="167"/>
      <x:c r="AA26" s="167"/>
      <x:c r="AB26" s="167"/>
      <x:c r="AC26" s="167"/>
      <x:c r="AD26" s="167"/>
      <x:c r="AE26" s="167"/>
      <x:c r="AF26" s="167"/>
      <x:c r="AG26" s="167"/>
      <x:c r="AH26" s="167"/>
      <x:c r="AI26" s="167"/>
      <x:c r="AJ26" s="167"/>
      <x:c r="AK26" s="167"/>
    </x:row>
    <x:row r="27">
      <x:c r="A27" s="167" t="str">
        <x:v>Investment cash</x:v>
      </x:c>
      <x:c r="B27" s="168" t="n">
        <x:f>SUM(B11:M11)</x:f>
        <x:v>120000</x:v>
      </x:c>
      <x:c r="C27" s="168" t="n">
        <x:f>SUM(N11:Y11)</x:f>
        <x:v>0</x:v>
      </x:c>
      <x:c r="D27" s="168" t="n">
        <x:f>SUM(Z11:AK11)</x:f>
        <x:v>0</x:v>
      </x:c>
      <x:c r="E27" s="167"/>
      <x:c r="F27" s="167"/>
      <x:c r="G27" s="167"/>
      <x:c r="H27" s="167"/>
      <x:c r="I27" s="167"/>
      <x:c r="J27" s="167"/>
      <x:c r="K27" s="167"/>
      <x:c r="L27" s="167"/>
      <x:c r="M27" s="167"/>
      <x:c r="N27" s="167"/>
      <x:c r="O27" s="167"/>
      <x:c r="P27" s="167"/>
      <x:c r="Q27" s="167"/>
      <x:c r="R27" s="167"/>
      <x:c r="S27" s="167"/>
      <x:c r="T27" s="167"/>
      <x:c r="U27" s="167"/>
      <x:c r="V27" s="167"/>
      <x:c r="W27" s="167"/>
      <x:c r="X27" s="167"/>
      <x:c r="Y27" s="167"/>
      <x:c r="Z27" s="167"/>
      <x:c r="AA27" s="167"/>
      <x:c r="AB27" s="167"/>
      <x:c r="AC27" s="167"/>
      <x:c r="AD27" s="167"/>
      <x:c r="AE27" s="167"/>
      <x:c r="AF27" s="167"/>
      <x:c r="AG27" s="167"/>
      <x:c r="AH27" s="167"/>
      <x:c r="AI27" s="167"/>
      <x:c r="AJ27" s="167"/>
      <x:c r="AK27" s="167"/>
    </x:row>
    <x:row r="28">
      <x:c r="A28" s="167" t="str">
        <x:v>Debt service</x:v>
      </x:c>
      <x:c r="B28" s="168" t="n">
        <x:f>SUM(B15:M16)</x:f>
        <x:v>9040</x:v>
      </x:c>
      <x:c r="C28" s="168" t="n">
        <x:f>SUM(N15:Y16)</x:f>
        <x:v>9040</x:v>
      </x:c>
      <x:c r="D28" s="168" t="n">
        <x:f>SUM(Z15:AK16)</x:f>
        <x:v>33522.08333333332</x:v>
      </x:c>
      <x:c r="E28" s="167"/>
      <x:c r="F28" s="167"/>
      <x:c r="G28" s="167"/>
      <x:c r="H28" s="167"/>
      <x:c r="I28" s="167"/>
      <x:c r="J28" s="167"/>
      <x:c r="K28" s="167"/>
      <x:c r="L28" s="167"/>
      <x:c r="M28" s="167"/>
      <x:c r="N28" s="167"/>
      <x:c r="O28" s="167"/>
      <x:c r="P28" s="167"/>
      <x:c r="Q28" s="167"/>
      <x:c r="R28" s="167"/>
      <x:c r="S28" s="167"/>
      <x:c r="T28" s="167"/>
      <x:c r="U28" s="167"/>
      <x:c r="V28" s="167"/>
      <x:c r="W28" s="167"/>
      <x:c r="X28" s="167"/>
      <x:c r="Y28" s="167"/>
      <x:c r="Z28" s="167"/>
      <x:c r="AA28" s="167"/>
      <x:c r="AB28" s="167"/>
      <x:c r="AC28" s="167"/>
      <x:c r="AD28" s="167"/>
      <x:c r="AE28" s="167"/>
      <x:c r="AF28" s="167"/>
      <x:c r="AG28" s="167"/>
      <x:c r="AH28" s="167"/>
      <x:c r="AI28" s="167"/>
      <x:c r="AJ28" s="167"/>
      <x:c r="AK28" s="167"/>
    </x:row>
    <x:row r="29">
      <x:c r="A29" s="169" t="str">
        <x:v>Ending cash</x:v>
      </x:c>
      <x:c r="B29" s="170" t="n">
        <x:f>M20</x:f>
        <x:v>75640.00000799994</x:v>
      </x:c>
      <x:c r="C29" s="170" t="n">
        <x:f>Y20</x:f>
        <x:v>49355.20000799995</x:v>
      </x:c>
      <x:c r="D29" s="170" t="n">
        <x:f>AK20</x:f>
        <x:v>122994.3166746666</x:v>
      </x:c>
      <x:c r="E29" s="167"/>
      <x:c r="F29" s="167"/>
      <x:c r="G29" s="167"/>
      <x:c r="H29" s="167"/>
      <x:c r="I29" s="167"/>
      <x:c r="J29" s="167"/>
      <x:c r="K29" s="167"/>
      <x:c r="L29" s="167"/>
      <x:c r="M29" s="167"/>
      <x:c r="N29" s="167"/>
      <x:c r="O29" s="167"/>
      <x:c r="P29" s="167"/>
      <x:c r="Q29" s="167"/>
      <x:c r="R29" s="167"/>
      <x:c r="S29" s="167"/>
      <x:c r="T29" s="167"/>
      <x:c r="U29" s="167"/>
      <x:c r="V29" s="167"/>
      <x:c r="W29" s="167"/>
      <x:c r="X29" s="167"/>
      <x:c r="Y29" s="167"/>
      <x:c r="Z29" s="167"/>
      <x:c r="AA29" s="167"/>
      <x:c r="AB29" s="167"/>
      <x:c r="AC29" s="167"/>
      <x:c r="AD29" s="167"/>
      <x:c r="AE29" s="167"/>
      <x:c r="AF29" s="167"/>
      <x:c r="AG29" s="167"/>
      <x:c r="AH29" s="167"/>
      <x:c r="AI29" s="167"/>
      <x:c r="AJ29" s="167"/>
      <x:c r="AK29" s="167"/>
    </x:row>
  </x:sheetData>
  <x:mergeCells>
    <x:mergeCell ref="A1:H1"/>
    <x:mergeCell ref="A2:H2"/>
  </x:mergeCells>
  <x:conditionalFormatting sqref="B21:AK21">
    <x:cfRule type="cellIs" dxfId="0" priority="1" operator="lessThan">
      <x:formula>0</x:formula>
    </x:cfRule>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24" hidden="0" customWidth="1"/>
    <x:col min="3" max="3" width="24" hidden="0" customWidth="1"/>
    <x:col min="4" max="4" width="24" hidden="0" customWidth="1"/>
  </x:cols>
  <x:sheetData>
    <x:row r="1" ht="30" customHeight="1">
      <x:c r="A1" s="57" t="str">
        <x:v>Profitability</x:v>
      </x:c>
      <x:c r="B1" s="34"/>
      <x:c r="C1" s="34"/>
      <x:c r="D1" s="34"/>
      <x:c r="E1" s="3"/>
      <x:c r="F1" s="3"/>
      <x:c r="G1" s="3"/>
      <x:c r="H1" s="3"/>
    </x:row>
    <x:row r="2" ht="22" customHeight="1">
      <x:c r="A2" s="35" t="str">
        <x:v>KfW-style three-year forecast, net, before depreciation</x:v>
      </x:c>
      <x:c r="B2" s="35"/>
      <x:c r="C2" s="35"/>
      <x:c r="D2" s="35"/>
      <x:c r="E2" s="6"/>
      <x:c r="F2" s="6"/>
      <x:c r="G2" s="6"/>
      <x:c r="H2" s="6"/>
    </x:row>
    <x:row r="3">
      <x:c r="A3" s="160"/>
      <x:c r="B3" s="160"/>
      <x:c r="C3" s="160"/>
      <x:c r="D3" s="160"/>
      <x:c r="E3" s="177"/>
      <x:c r="F3" s="177"/>
      <x:c r="G3" s="177"/>
      <x:c r="H3" s="177"/>
    </x:row>
    <x:row r="4">
      <x:c r="A4" s="128" t="str">
        <x:v>Position</x:v>
      </x:c>
      <x:c r="B4" s="129" t="str">
        <x:v>Year 1</x:v>
      </x:c>
      <x:c r="C4" s="129" t="str">
        <x:v>Year 2</x:v>
      </x:c>
      <x:c r="D4" s="130" t="str">
        <x:v>Year 3</x:v>
      </x:c>
      <x:c r="E4" s="177"/>
      <x:c r="F4" s="177"/>
      <x:c r="G4" s="177"/>
      <x:c r="H4" s="177"/>
    </x:row>
    <x:row r="5">
      <x:c r="A5" s="160" t="str">
        <x:v>SaaS revenue</x:v>
      </x:c>
      <x:c r="B5" s="178" t="n">
        <x:f>'Revenue Cohorts'!B43</x:f>
        <x:v>36000</x:v>
      </x:c>
      <x:c r="C5" s="178" t="n">
        <x:f>'Revenue Cohorts'!C43</x:f>
        <x:v>257040</x:v>
      </x:c>
      <x:c r="D5" s="178" t="n">
        <x:f>'Revenue Cohorts'!D43</x:f>
        <x:v>614115</x:v>
      </x:c>
      <x:c r="E5" s="177"/>
      <x:c r="F5" s="177"/>
      <x:c r="G5" s="177"/>
      <x:c r="H5" s="177"/>
    </x:row>
    <x:row r="6">
      <x:c r="A6" s="160" t="str">
        <x:v>Context Activation revenue</x:v>
      </x:c>
      <x:c r="B6" s="178" t="n">
        <x:f>'Revenue Cohorts'!B44</x:f>
        <x:v>20000</x:v>
      </x:c>
      <x:c r="C6" s="178" t="n">
        <x:f>'Revenue Cohorts'!C44</x:f>
        <x:v>40000</x:v>
      </x:c>
      <x:c r="D6" s="178" t="n">
        <x:f>'Revenue Cohorts'!D44</x:f>
        <x:v>60000</x:v>
      </x:c>
      <x:c r="E6" s="177"/>
      <x:c r="F6" s="177"/>
      <x:c r="G6" s="177"/>
      <x:c r="H6" s="177"/>
    </x:row>
    <x:row r="7">
      <x:c r="A7" s="179" t="str">
        <x:v>Total net revenue</x:v>
      </x:c>
      <x:c r="B7" s="180" t="n">
        <x:f>SUM(B5:B6)</x:f>
        <x:v>56000</x:v>
      </x:c>
      <x:c r="C7" s="180" t="n">
        <x:f>SUM(C5:C6)</x:f>
        <x:v>297040</x:v>
      </x:c>
      <x:c r="D7" s="180" t="n">
        <x:f>SUM(D5:D6)</x:f>
        <x:v>674115</x:v>
      </x:c>
      <x:c r="E7" s="177"/>
      <x:c r="F7" s="177"/>
      <x:c r="G7" s="177"/>
      <x:c r="H7" s="177"/>
    </x:row>
    <x:row r="8">
      <x:c r="A8" s="181" t="str">
        <x:v>Direct COGS</x:v>
      </x:c>
      <x:c r="B8" s="182" t="n">
        <x:f>'Personnel &amp; Opex'!B37</x:f>
        <x:v>4320</x:v>
      </x:c>
      <x:c r="C8" s="182" t="n">
        <x:f>'Personnel &amp; Opex'!C37</x:f>
        <x:v>30844.799999999996</x:v>
      </x:c>
      <x:c r="D8" s="182" t="n">
        <x:f>'Personnel &amp; Opex'!D37</x:f>
        <x:v>73693.79999999999</x:v>
      </x:c>
      <x:c r="E8" s="177"/>
      <x:c r="F8" s="177"/>
      <x:c r="G8" s="177"/>
      <x:c r="H8" s="177"/>
    </x:row>
    <x:row r="9">
      <x:c r="A9" s="183" t="str">
        <x:v>Gross profit</x:v>
      </x:c>
      <x:c r="B9" s="184" t="n">
        <x:f>B7-B8</x:f>
        <x:v>51680</x:v>
      </x:c>
      <x:c r="C9" s="184" t="n">
        <x:f>C7-C8</x:f>
        <x:v>266195.2</x:v>
      </x:c>
      <x:c r="D9" s="184" t="n">
        <x:f>D7-D8</x:f>
        <x:v>600421.2</x:v>
      </x:c>
      <x:c r="E9" s="177"/>
      <x:c r="F9" s="177"/>
      <x:c r="G9" s="177"/>
      <x:c r="H9" s="177"/>
    </x:row>
    <x:row r="10">
      <x:c r="A10" s="160" t="str"/>
      <x:c r="B10" s="178" t="n">
        <x:f>0</x:f>
        <x:v>0</x:v>
      </x:c>
      <x:c r="C10" s="178" t="n">
        <x:f>0</x:f>
        <x:v>0</x:v>
      </x:c>
      <x:c r="D10" s="178" t="n">
        <x:f>0</x:f>
        <x:v>0</x:v>
      </x:c>
      <x:c r="E10" s="177"/>
      <x:c r="F10" s="177"/>
      <x:c r="G10" s="177"/>
      <x:c r="H10" s="177"/>
    </x:row>
    <x:row r="11">
      <x:c r="A11" s="160" t="str">
        <x:v>Personnel</x:v>
      </x:c>
      <x:c r="B11" s="178" t="n">
        <x:f>'Personnel &amp; Opex'!B35</x:f>
        <x:v>0</x:v>
      </x:c>
      <x:c r="C11" s="178" t="n">
        <x:f>'Personnel &amp; Opex'!C35</x:f>
        <x:v>198600</x:v>
      </x:c>
      <x:c r="D11" s="178" t="n">
        <x:f>'Personnel &amp; Opex'!D35</x:f>
        <x:v>351000</x:v>
      </x:c>
      <x:c r="E11" s="177"/>
      <x:c r="F11" s="177"/>
      <x:c r="G11" s="177"/>
      <x:c r="H11" s="177"/>
    </x:row>
    <x:row r="12">
      <x:c r="A12" s="160" t="str">
        <x:v>Fixed opex</x:v>
      </x:c>
      <x:c r="B12" s="178" t="n">
        <x:f>'Personnel &amp; Opex'!B36</x:f>
        <x:v>37999.999992000005</x:v>
      </x:c>
      <x:c r="C12" s="178" t="n">
        <x:f>'Personnel &amp; Opex'!C36</x:f>
        <x:v>60000</x:v>
      </x:c>
      <x:c r="D12" s="178" t="n">
        <x:f>'Personnel &amp; Opex'!D36</x:f>
        <x:v>105000</x:v>
      </x:c>
      <x:c r="E12" s="177"/>
      <x:c r="F12" s="177"/>
      <x:c r="G12" s="177"/>
      <x:c r="H12" s="177"/>
    </x:row>
    <x:row r="13">
      <x:c r="A13" s="179" t="str">
        <x:v>EBITDA before depreciation</x:v>
      </x:c>
      <x:c r="B13" s="180" t="n">
        <x:f>B9-B11-B12</x:f>
        <x:v>13680.000007999995</x:v>
      </x:c>
      <x:c r="C13" s="180" t="n">
        <x:f>C9-C11-C12</x:f>
        <x:v>7595.200000000012</x:v>
      </x:c>
      <x:c r="D13" s="180" t="n">
        <x:f>D9-D11-D12</x:f>
        <x:v>144421.19999999995</x:v>
      </x:c>
      <x:c r="E13" s="177"/>
      <x:c r="F13" s="177"/>
      <x:c r="G13" s="177"/>
      <x:c r="H13" s="177"/>
    </x:row>
    <x:row r="14">
      <x:c r="A14" s="181" t="str">
        <x:v>Interest</x:v>
      </x:c>
      <x:c r="B14" s="182" t="n">
        <x:f>'Investment &amp; Funding'!B26</x:f>
        <x:v>9040</x:v>
      </x:c>
      <x:c r="C14" s="182" t="n">
        <x:f>'Investment &amp; Funding'!C26</x:f>
        <x:v>9040</x:v>
      </x:c>
      <x:c r="D14" s="182" t="n">
        <x:f>'Investment &amp; Funding'!D26</x:f>
        <x:v>8522.08333333333</x:v>
      </x:c>
      <x:c r="E14" s="177"/>
      <x:c r="F14" s="177"/>
      <x:c r="G14" s="177"/>
      <x:c r="H14" s="177"/>
    </x:row>
    <x:row r="15">
      <x:c r="A15" s="181" t="str">
        <x:v>Result before tax and depreciation</x:v>
      </x:c>
      <x:c r="B15" s="182" t="n">
        <x:f>B13-B14</x:f>
        <x:v>4640.000007999995</x:v>
      </x:c>
      <x:c r="C15" s="182" t="n">
        <x:f>C13-C14</x:f>
        <x:v>-1444.7999999999884</x:v>
      </x:c>
      <x:c r="D15" s="182" t="n">
        <x:f>D13-D14</x:f>
        <x:v>135899.1166666666</x:v>
      </x:c>
      <x:c r="E15" s="177"/>
      <x:c r="F15" s="177"/>
      <x:c r="G15" s="177"/>
      <x:c r="H15" s="177"/>
    </x:row>
    <x:row r="16">
      <x:c r="A16" s="181" t="str">
        <x:v>Indicative cash taxes</x:v>
      </x:c>
      <x:c r="B16" s="182" t="n">
        <x:f>0</x:f>
        <x:v>0</x:v>
      </x:c>
      <x:c r="C16" s="182" t="n">
        <x:f>0</x:f>
        <x:v>0</x:v>
      </x:c>
      <x:c r="D16" s="182" t="n">
        <x:f>0</x:f>
        <x:v>0</x:v>
      </x:c>
      <x:c r="E16" s="177"/>
      <x:c r="F16" s="177"/>
      <x:c r="G16" s="177"/>
      <x:c r="H16" s="177"/>
    </x:row>
    <x:row r="17">
      <x:c r="A17" s="181" t="str">
        <x:v>Result after tax before depreciation</x:v>
      </x:c>
      <x:c r="B17" s="182" t="n">
        <x:f>B15-B16</x:f>
        <x:v>4640.000007999995</x:v>
      </x:c>
      <x:c r="C17" s="182" t="n">
        <x:f>C15-C16</x:f>
        <x:v>-1444.7999999999884</x:v>
      </x:c>
      <x:c r="D17" s="182" t="n">
        <x:f>D15-D16</x:f>
        <x:v>135899.1166666666</x:v>
      </x:c>
      <x:c r="E17" s="177"/>
      <x:c r="F17" s="177"/>
      <x:c r="G17" s="177"/>
      <x:c r="H17" s="177"/>
    </x:row>
    <x:row r="18">
      <x:c r="A18" s="181" t="str">
        <x:v>Principal - cash only</x:v>
      </x:c>
      <x:c r="B18" s="182" t="n">
        <x:f>'Investment &amp; Funding'!B27</x:f>
        <x:v>0</x:v>
      </x:c>
      <x:c r="C18" s="182" t="n">
        <x:f>'Investment &amp; Funding'!C27</x:f>
        <x:v>0</x:v>
      </x:c>
      <x:c r="D18" s="182" t="n">
        <x:f>'Investment &amp; Funding'!D27</x:f>
        <x:v>24999.999999999996</x:v>
      </x:c>
      <x:c r="E18" s="177"/>
      <x:c r="F18" s="177"/>
      <x:c r="G18" s="177"/>
      <x:c r="H18" s="177"/>
    </x:row>
    <x:row r="19">
      <x:c r="A19" s="183" t="str">
        <x:v>Cash after debt service before investment</x:v>
      </x:c>
      <x:c r="B19" s="184" t="n">
        <x:f>B13-B14-B18</x:f>
        <x:v>4640.000007999995</x:v>
      </x:c>
      <x:c r="C19" s="184" t="n">
        <x:f>C13-C14-C18</x:f>
        <x:v>-1444.7999999999884</x:v>
      </x:c>
      <x:c r="D19" s="184" t="n">
        <x:f>D13-D14-D18</x:f>
        <x:v>110899.11666666661</x:v>
      </x:c>
      <x:c r="E19" s="177"/>
      <x:c r="F19" s="177"/>
      <x:c r="G19" s="177"/>
      <x:c r="H19" s="177"/>
    </x:row>
    <x:row r="20">
      <x:c r="A20" s="160" t="str">
        <x:v>End ARR</x:v>
      </x:c>
      <x:c r="B20" s="178" t="n">
        <x:f>'Revenue Cohorts'!B47</x:f>
        <x:v>108000</x:v>
      </x:c>
      <x:c r="C20" s="178" t="n">
        <x:f>'Revenue Cohorts'!C47</x:f>
        <x:v>406080</x:v>
      </x:c>
      <x:c r="D20" s="178" t="n">
        <x:f>'Revenue Cohorts'!D47</x:f>
        <x:v>853200</x:v>
      </x:c>
      <x:c r="E20" s="177"/>
      <x:c r="F20" s="177"/>
      <x:c r="G20" s="177"/>
      <x:c r="H20" s="177"/>
    </x:row>
    <x:row r="21">
      <x:c r="A21" s="160" t="str">
        <x:v>Paying customers</x:v>
      </x:c>
      <x:c r="B21" s="185" t="n">
        <x:f>'Revenue Cohorts'!B42</x:f>
        <x:v>4</x:v>
      </x:c>
      <x:c r="C21" s="185" t="n">
        <x:f>'Revenue Cohorts'!C42</x:f>
        <x:v>12</x:v>
      </x:c>
      <x:c r="D21" s="185" t="n">
        <x:f>'Revenue Cohorts'!D42</x:f>
        <x:v>24</x:v>
      </x:c>
      <x:c r="E21" s="177"/>
      <x:c r="F21" s="177"/>
      <x:c r="G21" s="177"/>
      <x:c r="H21" s="177"/>
    </x:row>
    <x:row r="22">
      <x:c r="A22" s="160" t="str">
        <x:v>EBITDA / debt service</x:v>
      </x:c>
      <x:c r="B22" s="186" t="n">
        <x:f>IF((B14+B18)&gt;0,B13/(B14+B18),0)</x:f>
        <x:v>1.5132743371681412</x:v>
      </x:c>
      <x:c r="C22" s="186" t="n">
        <x:f>IF((C14+C18)&gt;0,C13/(C14+C18),0)</x:f>
        <x:v>0.8401769911504438</x:v>
      </x:c>
      <x:c r="D22" s="186" t="n">
        <x:f>IF((D14+D18)&gt;0,D13/(D14+D18),0)</x:f>
        <x:v>4.308240587672305</x:v>
      </x:c>
      <x:c r="E22" s="177"/>
      <x:c r="F22" s="177"/>
      <x:c r="G22" s="177"/>
      <x:c r="H22" s="177"/>
    </x:row>
    <x:row r="23">
      <x:c r="A23" s="160"/>
      <x:c r="B23" s="160"/>
      <x:c r="C23" s="160"/>
      <x:c r="D23" s="160"/>
      <x:c r="E23" s="177"/>
      <x:c r="F23" s="177"/>
      <x:c r="G23" s="177"/>
      <x:c r="H23" s="177"/>
    </x:row>
    <x:row r="24">
      <x:c r="A24" s="128" t="str">
        <x:v>Interpretation</x:v>
      </x:c>
      <x:c r="B24" s="129" t="str">
        <x:v>Year 1</x:v>
      </x:c>
      <x:c r="C24" s="129" t="str">
        <x:v>Year 2</x:v>
      </x:c>
      <x:c r="D24" s="130" t="str">
        <x:v>Year 3</x:v>
      </x:c>
      <x:c r="E24" s="177"/>
      <x:c r="F24" s="177"/>
      <x:c r="G24" s="177"/>
      <x:c r="H24" s="177"/>
    </x:row>
    <x:row r="25">
      <x:c r="A25" s="160" t="str">
        <x:v>Commercial posture</x:v>
      </x:c>
      <x:c r="B25" s="162" t="str">
        <x:v>4 paying customers + 2 non-revenue design partners</x:v>
      </x:c>
      <x:c r="C25" s="162" t="str">
        <x:v>8 new paying customers</x:v>
      </x:c>
      <x:c r="D25" s="162" t="str">
        <x:v>12 new paying customers</x:v>
      </x:c>
      <x:c r="E25" s="177"/>
      <x:c r="F25" s="177"/>
      <x:c r="G25" s="177"/>
      <x:c r="H25" s="177"/>
    </x:row>
    <x:row r="26">
      <x:c r="A26" s="160" t="str">
        <x:v>Hiring posture</x:v>
      </x:c>
      <x:c r="B26" s="162" t="str">
        <x:v>Founders unpaid; no fixed payroll</x:v>
      </x:c>
      <x:c r="C26" s="162" t="str">
        <x:v>Founder payroll begins; engineer from M20 after gates</x:v>
      </x:c>
      <x:c r="D26" s="162" t="str">
        <x:v>CS from M28; Sales from M31</x:v>
      </x:c>
      <x:c r="E26" s="177"/>
      <x:c r="F26" s="177"/>
      <x:c r="G26" s="177"/>
      <x:c r="H26" s="177"/>
    </x:row>
    <x:row r="27">
      <x:c r="A27" s="160" t="str">
        <x:v>Tax note</x:v>
      </x:c>
      <x:c r="B27" s="162" t="str">
        <x:v>Loss year</x:v>
      </x:c>
      <x:c r="C27" s="162" t="str">
        <x:v>Near break-even</x:v>
      </x:c>
      <x:c r="D27" s="162" t="str">
        <x:v>Loss carryforward likely; tax advisor to confirm</x:v>
      </x:c>
      <x:c r="E27" s="177"/>
      <x:c r="F27" s="177"/>
      <x:c r="G27" s="177"/>
      <x:c r="H27" s="177"/>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55" hidden="0" customWidth="1"/>
  </x:cols>
  <x:sheetData>
    <x:row r="1" ht="30" customHeight="1">
      <x:c r="A1" s="57" t="str">
        <x:v>Year-1 Scenarios</x:v>
      </x:c>
      <x:c r="B1" s="34"/>
      <x:c r="C1" s="34"/>
      <x:c r="D1" s="34"/>
      <x:c r="E1" s="34"/>
      <x:c r="F1" s="34"/>
      <x:c r="G1" s="34"/>
      <x:c r="H1" s="34"/>
    </x:row>
    <x:row r="2" ht="22" customHeight="1">
      <x:c r="A2" s="35" t="str">
        <x:v>No fixed founder payroll; conditional personnel spending requires matched additional funding</x:v>
      </x:c>
      <x:c r="B2" s="35"/>
      <x:c r="C2" s="35"/>
      <x:c r="D2" s="35"/>
      <x:c r="E2" s="35"/>
      <x:c r="F2" s="35"/>
      <x:c r="G2" s="35"/>
      <x:c r="H2" s="35"/>
    </x:row>
    <x:row r="3">
      <x:c r="A3" s="36"/>
      <x:c r="B3" s="36"/>
      <x:c r="C3" s="36"/>
      <x:c r="D3" s="36"/>
      <x:c r="E3" s="36"/>
      <x:c r="F3" s="36"/>
      <x:c r="G3" s="36"/>
      <x:c r="H3" s="36"/>
    </x:row>
    <x:row r="4">
      <x:c r="A4" s="128" t="str">
        <x:v>Scenario</x:v>
      </x:c>
      <x:c r="B4" s="129" t="str">
        <x:v>Cash receipt factor</x:v>
      </x:c>
      <x:c r="C4" s="129" t="str">
        <x:v>Activation factor</x:v>
      </x:c>
      <x:c r="D4" s="129" t="str">
        <x:v>Fixed-opex factor</x:v>
      </x:c>
      <x:c r="E4" s="129" t="str">
        <x:v>Conditional Year-1 personnel spend</x:v>
      </x:c>
      <x:c r="F4" s="129" t="str">
        <x:v>Year-1 ending cash</x:v>
      </x:c>
      <x:c r="G4" s="129" t="str">
        <x:v>Additional funding for 30k Year-1 reserve</x:v>
      </x:c>
      <x:c r="H4" s="130" t="str">
        <x:v>Interpretation</x:v>
      </x:c>
    </x:row>
    <x:row r="5">
      <x:c r="A5" s="36" t="str">
        <x:v>Base - no fixed founder payroll</x:v>
      </x:c>
      <x:c r="B5" s="144" t="n">
        <x:v>1</x:v>
      </x:c>
      <x:c r="C5" s="144" t="n">
        <x:v>1</x:v>
      </x:c>
      <x:c r="D5" s="144" t="n">
        <x:v>1</x:v>
      </x:c>
      <x:c r="E5" s="145" t="n">
        <x:v>0</x:v>
      </x:c>
      <x:c r="F5" s="131" t="n">
        <x:f>'Assumptions'!$B$5+'Assumptions'!$B$6+(('Revenue Cohorts'!$B$46-'Revenue Cohorts'!$B$44)*B5)+('Revenue Cohorts'!$B$44*C5)-'Investment &amp; Funding'!$B$23-E5-('Personnel &amp; Opex'!$B$36*D5)-('Personnel &amp; Opex'!$B$37*B5)-'Investment &amp; Funding'!$B$26</x:f>
        <x:v>75640.000008</x:v>
      </x:c>
      <x:c r="G5" s="131" t="n">
        <x:f>MAX(0,'Investment &amp; Funding'!$B$23+E5+('Personnel &amp; Opex'!$B$36*D5)+('Personnel &amp; Opex'!$B$37*B5)+'Investment &amp; Funding'!$B$26+'Assumptions'!$B$11-'Assumptions'!$B$5-((('Revenue Cohorts'!$B$46-'Revenue Cohorts'!$B$44)*B5)+('Revenue Cohorts'!$B$44*C5)))</x:f>
        <x:v>0</x:v>
      </x:c>
      <x:c r="H5" s="140" t="str">
        <x:v>Four paid customers, four activations, monthly SaaS with one-month payment lag</x:v>
      </x:c>
    </x:row>
    <x:row r="6">
      <x:c r="A6" s="36" t="str">
        <x:v>Downside</x:v>
      </x:c>
      <x:c r="B6" s="144" t="n">
        <x:v>0.5</x:v>
      </x:c>
      <x:c r="C6" s="144" t="n">
        <x:v>0.5</x:v>
      </x:c>
      <x:c r="D6" s="144" t="n">
        <x:v>0.85</x:v>
      </x:c>
      <x:c r="E6" s="145" t="n">
        <x:v>0</x:v>
      </x:c>
      <x:c r="F6" s="131" t="n">
        <x:f>'Assumptions'!$B$5+'Assumptions'!$B$6+(('Revenue Cohorts'!$B$46-'Revenue Cohorts'!$B$44)*B6)+('Revenue Cohorts'!$B$44*C6)-'Investment &amp; Funding'!$B$23-E6-('Personnel &amp; Opex'!$B$36*D6)-('Personnel &amp; Opex'!$B$37*B6)-'Investment &amp; Funding'!$B$26</x:f>
        <x:v>60000.00000679999</x:v>
      </x:c>
      <x:c r="G6" s="131" t="n">
        <x:f>MAX(0,'Investment &amp; Funding'!$B$23+E6+('Personnel &amp; Opex'!$B$36*D6)+('Personnel &amp; Opex'!$B$37*B6)+'Investment &amp; Funding'!$B$26+'Assumptions'!$B$11-'Assumptions'!$B$5-((('Revenue Cohorts'!$B$46-'Revenue Cohorts'!$B$44)*B6)+('Revenue Cohorts'!$B$44*C6)))</x:f>
        <x:v>0</x:v>
      </x:c>
      <x:c r="H6" s="140" t="str">
        <x:v>Only half the commercial cash arrives; non-payroll opex gate applied; founder payroll remains zero</x:v>
      </x:c>
    </x:row>
    <x:row r="7">
      <x:c r="A7" s="36" t="str">
        <x:v>LOI-only / no paid customers</x:v>
      </x:c>
      <x:c r="B7" s="144" t="n">
        <x:v>0</x:v>
      </x:c>
      <x:c r="C7" s="144" t="n">
        <x:v>0</x:v>
      </x:c>
      <x:c r="D7" s="144" t="n">
        <x:v>0.8</x:v>
      </x:c>
      <x:c r="E7" s="145" t="n">
        <x:v>0</x:v>
      </x:c>
      <x:c r="F7" s="131" t="n">
        <x:f>'Assumptions'!$B$5+'Assumptions'!$B$6+(('Revenue Cohorts'!$B$46-'Revenue Cohorts'!$B$44)*B7)+('Revenue Cohorts'!$B$44*C7)-'Investment &amp; Funding'!$B$23-E7-('Personnel &amp; Opex'!$B$36*D7)-('Personnel &amp; Opex'!$B$37*B7)-'Investment &amp; Funding'!$B$26</x:f>
        <x:v>40560.00000639999</x:v>
      </x:c>
      <x:c r="G7" s="131" t="n">
        <x:f>MAX(0,'Investment &amp; Funding'!$B$23+E7+('Personnel &amp; Opex'!$B$36*D7)+('Personnel &amp; Opex'!$B$37*B7)+'Investment &amp; Funding'!$B$26+'Assumptions'!$B$11-'Assumptions'!$B$5-((('Revenue Cohorts'!$B$46-'Revenue Cohorts'!$B$44)*B7)+('Revenue Cohorts'!$B$44*C7)))</x:f>
        <x:v>0</x:v>
      </x:c>
      <x:c r="H7" s="140" t="str">
        <x:v>Two design partners validate the product but generate no revenue; no fixed founder payroll</x:v>
      </x:c>
    </x:row>
    <x:row r="8">
      <x:c r="A8" s="36" t="str">
        <x:v>Full 80k personnel release without extra funding</x:v>
      </x:c>
      <x:c r="B8" s="144" t="n">
        <x:v>1</x:v>
      </x:c>
      <x:c r="C8" s="144" t="n">
        <x:v>1</x:v>
      </x:c>
      <x:c r="D8" s="144" t="n">
        <x:v>1</x:v>
      </x:c>
      <x:c r="E8" s="145" t="n">
        <x:v>80000</x:v>
      </x:c>
      <x:c r="F8" s="131" t="n">
        <x:f>'Assumptions'!$B$5+'Assumptions'!$B$6+(('Revenue Cohorts'!$B$46-'Revenue Cohorts'!$B$44)*B8)+('Revenue Cohorts'!$B$44*C8)-'Investment &amp; Funding'!$B$23-E8-('Personnel &amp; Opex'!$B$36*D8)-('Personnel &amp; Opex'!$B$37*B8)-'Investment &amp; Funding'!$B$26</x:f>
        <x:v>-4359.999992000005</x:v>
      </x:c>
      <x:c r="G8" s="131" t="n">
        <x:f>MAX(0,'Investment &amp; Funding'!$B$23+E8+('Personnel &amp; Opex'!$B$36*D8)+('Personnel &amp; Opex'!$B$37*B8)+'Investment &amp; Funding'!$B$26+'Assumptions'!$B$11-'Assumptions'!$B$5-((('Revenue Cohorts'!$B$46-'Revenue Cohorts'!$B$44)*B8)+('Revenue Cohorts'!$B$44*C8)))</x:f>
        <x:v>34359.999992</x:v>
      </x:c>
      <x:c r="H8" s="140" t="str">
        <x:v>Violates funding gate: full 80k spend creates a negative cash balance without additional funds</x:v>
      </x:c>
    </x:row>
    <x:row r="9">
      <x:c r="A9" s="36"/>
      <x:c r="B9" s="36"/>
      <x:c r="C9" s="36"/>
      <x:c r="D9" s="36"/>
      <x:c r="E9" s="36"/>
      <x:c r="F9" s="36"/>
      <x:c r="G9" s="36"/>
      <x:c r="H9" s="36"/>
    </x:row>
    <x:row r="10">
      <x:c r="A10" s="146" t="str">
        <x:v>Critical conclusion</x:v>
      </x:c>
      <x:c r="B10" s="146"/>
      <x:c r="C10" s="146"/>
      <x:c r="D10" s="146"/>
      <x:c r="E10" s="146"/>
      <x:c r="F10" s="146"/>
      <x:c r="G10" s="146"/>
      <x:c r="H10" s="146"/>
    </x:row>
    <x:row r="11" ht="34" customHeight="1">
      <x:c r="A11" s="147" t="str">
        <x:v>The no-payroll base is financed by the 200k KfW loan and customer receipts without additional equity. Minimum 36-month cash is about 41.0k, above the 30k management floor.</x:v>
      </x:c>
      <x:c r="B11" s="147"/>
      <x:c r="C11" s="147"/>
      <x:c r="D11" s="147"/>
      <x:c r="E11" s="147"/>
      <x:c r="F11" s="147"/>
      <x:c r="G11" s="147"/>
      <x:c r="H11" s="147"/>
    </x:row>
    <x:row r="12" ht="34" customHeight="1">
      <x:c r="A12" s="147" t="str">
        <x:v>The full optional 80k personnel envelope is not financed in the base. Releasing it without matched funding pushes the 36-month trough to about -39.0k; at least about 69.0k additional liquidity is required to retain the 30k floor.</x:v>
      </x:c>
      <x:c r="B12" s="147"/>
      <x:c r="C12" s="147"/>
      <x:c r="D12" s="147"/>
      <x:c r="E12" s="147"/>
      <x:c r="F12" s="147"/>
      <x:c r="G12" s="147"/>
      <x:c r="H12" s="147"/>
    </x:row>
  </x:sheetData>
  <x:mergeCells>
    <x:mergeCell ref="A1:H1"/>
    <x:mergeCell ref="A2:H2"/>
    <x:mergeCell ref="A10:H10"/>
    <x:mergeCell ref="A11:H11"/>
    <x:mergeCell ref="A12:H12"/>
  </x:mergeCells>
  <x:conditionalFormatting sqref="F5:F8">
    <x:cfRule type="cellIs" dxfId="1" priority="1" operator="lessThan">
      <x:formula>30000</x:formula>
    </x:cfRul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18" hidden="0" customWidth="1"/>
    <x:col min="6" max="6" width="62" hidden="0" customWidth="1"/>
    <x:col min="7" max="7" width="48" hidden="0" customWidth="1"/>
  </x:cols>
  <x:sheetData>
    <x:row r="1" ht="30" customHeight="1">
      <x:c r="A1" s="57" t="str">
        <x:v>Checks &amp; Sources</x:v>
      </x:c>
      <x:c r="B1" s="97"/>
      <x:c r="C1" s="97"/>
      <x:c r="D1" s="97"/>
      <x:c r="E1" s="97"/>
      <x:c r="F1" s="97"/>
      <x:c r="G1" s="97"/>
      <x:c r="H1" s="3"/>
    </x:row>
    <x:row r="2" ht="22" customHeight="1">
      <x:c r="A2" s="99" t="str">
        <x:v>Model controls and source register</x:v>
      </x:c>
      <x:c r="B2" s="99"/>
      <x:c r="C2" s="99"/>
      <x:c r="D2" s="99"/>
      <x:c r="E2" s="99"/>
      <x:c r="F2" s="99"/>
      <x:c r="G2" s="99"/>
      <x:c r="H2" s="6"/>
    </x:row>
    <x:row r="3">
      <x:c r="A3" s="167"/>
      <x:c r="B3" s="167"/>
      <x:c r="C3" s="167"/>
      <x:c r="D3" s="167"/>
      <x:c r="E3" s="167"/>
      <x:c r="F3" s="167"/>
      <x:c r="G3" s="167"/>
      <x:c r="H3" s="177"/>
    </x:row>
    <x:row r="4">
      <x:c r="A4" s="114" t="str">
        <x:v>Check</x:v>
      </x:c>
      <x:c r="B4" s="115" t="str">
        <x:v>Actual</x:v>
      </x:c>
      <x:c r="C4" s="115" t="str">
        <x:v>Expected</x:v>
      </x:c>
      <x:c r="D4" s="115" t="str">
        <x:v>Difference</x:v>
      </x:c>
      <x:c r="E4" s="115" t="str">
        <x:v>Tolerance</x:v>
      </x:c>
      <x:c r="F4" s="115" t="str">
        <x:v>Status</x:v>
      </x:c>
      <x:c r="G4" s="116" t="str">
        <x:v>Fix / note</x:v>
      </x:c>
      <x:c r="H4" s="177"/>
    </x:row>
    <x:row r="5">
      <x:c r="A5" s="167" t="str">
        <x:v>Investment total</x:v>
      </x:c>
      <x:c r="B5" s="168" t="n">
        <x:f>'Assumptions'!B28</x:f>
        <x:v>120000</x:v>
      </x:c>
      <x:c r="C5" s="168" t="n">
        <x:f>120000</x:f>
        <x:v>120000</x:v>
      </x:c>
      <x:c r="D5" s="168" t="n">
        <x:f>B5-C5</x:f>
        <x:v>0</x:v>
      </x:c>
      <x:c r="E5" s="168" t="n">
        <x:v>0.01</x:v>
      </x:c>
      <x:c r="F5" s="167" t="str">
        <x:f>IF(ABS(D5)&lt;=E5,"OK","FAIL")</x:f>
        <x:v>OK</x:v>
      </x:c>
      <x:c r="G5" s="167" t="str">
        <x:v>Must equal 120k</x:v>
      </x:c>
      <x:c r="H5" s="177"/>
    </x:row>
    <x:row r="6">
      <x:c r="A6" s="167" t="str">
        <x:v>KfW amount</x:v>
      </x:c>
      <x:c r="B6" s="168" t="n">
        <x:f>'Assumptions'!B5</x:f>
        <x:v>200000</x:v>
      </x:c>
      <x:c r="C6" s="168" t="n">
        <x:f>200000</x:f>
        <x:v>200000</x:v>
      </x:c>
      <x:c r="D6" s="168" t="n">
        <x:f>B6-C6</x:f>
        <x:v>0</x:v>
      </x:c>
      <x:c r="E6" s="168" t="n">
        <x:v>0.01</x:v>
      </x:c>
      <x:c r="F6" s="167" t="str">
        <x:f>IF(ABS(D6)&lt;=E6,"OK","FAIL")</x:f>
        <x:v>OK</x:v>
      </x:c>
      <x:c r="G6" s="167" t="str">
        <x:v>Program cap</x:v>
      </x:c>
      <x:c r="H6" s="177"/>
    </x:row>
    <x:row r="7">
      <x:c r="A7" s="167" t="str">
        <x:v>Additional equity base</x:v>
      </x:c>
      <x:c r="B7" s="168" t="n">
        <x:f>'Assumptions'!B6</x:f>
        <x:v>0</x:v>
      </x:c>
      <x:c r="C7" s="168" t="n">
        <x:f>0</x:f>
        <x:v>0</x:v>
      </x:c>
      <x:c r="D7" s="168" t="n">
        <x:f>B7-C7</x:f>
        <x:v>0</x:v>
      </x:c>
      <x:c r="E7" s="168" t="n">
        <x:v>0.01</x:v>
      </x:c>
      <x:c r="F7" s="167" t="str">
        <x:f>IF(ABS(D7)&lt;=E7,"OK","FAIL")</x:f>
        <x:v>OK</x:v>
      </x:c>
      <x:c r="G7" s="167" t="str">
        <x:v>No additional equity in no-payroll base</x:v>
      </x:c>
      <x:c r="H7" s="177"/>
    </x:row>
    <x:row r="8">
      <x:c r="A8" s="167" t="str">
        <x:v>Year-1 personnel cap</x:v>
      </x:c>
      <x:c r="B8" s="168" t="n">
        <x:f>'Personnel &amp; Opex'!B35</x:f>
        <x:v>0</x:v>
      </x:c>
      <x:c r="C8" s="168" t="n">
        <x:f>80000</x:f>
        <x:v>80000</x:v>
      </x:c>
      <x:c r="D8" s="168" t="n">
        <x:f>B8-C8</x:f>
        <x:v>-80000</x:v>
      </x:c>
      <x:c r="E8" s="168" t="n">
        <x:v>0.01</x:v>
      </x:c>
      <x:c r="F8" s="167" t="str">
        <x:f>IF(B8&lt;=C8,"OK","FAIL")</x:f>
        <x:v>OK</x:v>
      </x:c>
      <x:c r="G8" s="167" t="str">
        <x:v>Must not exceed 80k; committed base is zero</x:v>
      </x:c>
      <x:c r="H8" s="177"/>
    </x:row>
    <x:row r="9">
      <x:c r="A9" s="167" t="str">
        <x:v>Year-1 revenue tie</x:v>
      </x:c>
      <x:c r="B9" s="168" t="n">
        <x:f>'Profitability'!B7</x:f>
        <x:v>56000</x:v>
      </x:c>
      <x:c r="C9" s="168" t="n">
        <x:f>'Revenue Cohorts'!B45</x:f>
        <x:v>56000</x:v>
      </x:c>
      <x:c r="D9" s="168" t="n">
        <x:f>B9-C9</x:f>
        <x:v>0</x:v>
      </x:c>
      <x:c r="E9" s="168" t="n">
        <x:v>0.01</x:v>
      </x:c>
      <x:c r="F9" s="167" t="str">
        <x:f>IF(ABS(D9)&lt;=E9,"OK","FAIL")</x:f>
        <x:v>OK</x:v>
      </x:c>
      <x:c r="G9" s="167" t="str">
        <x:v>Annual summary tie</x:v>
      </x:c>
      <x:c r="H9" s="177"/>
    </x:row>
    <x:row r="10">
      <x:c r="A10" s="167" t="str">
        <x:v>Year-1 cash roll-forward</x:v>
      </x:c>
      <x:c r="B10" s="168" t="n">
        <x:f>'Cash Plan'!B29</x:f>
        <x:v>75640.00000799994</x:v>
      </x:c>
      <x:c r="C10" s="168" t="n">
        <x:f>'Cash Plan'!M20</x:f>
        <x:v>75640.00000799994</x:v>
      </x:c>
      <x:c r="D10" s="168" t="n">
        <x:f>B10-C10</x:f>
        <x:v>0</x:v>
      </x:c>
      <x:c r="E10" s="168" t="n">
        <x:v>0.01</x:v>
      </x:c>
      <x:c r="F10" s="167" t="str">
        <x:f>IF(ABS(D10)&lt;=E10,"OK","FAIL")</x:f>
        <x:v>OK</x:v>
      </x:c>
      <x:c r="G10" s="167" t="str">
        <x:v>Cash summary tie</x:v>
      </x:c>
      <x:c r="H10" s="177"/>
    </x:row>
    <x:row r="11">
      <x:c r="A11" s="167" t="str">
        <x:v>Debt closing after M36</x:v>
      </x:c>
      <x:c r="B11" s="168" t="n">
        <x:f>'Investment &amp; Funding'!AK19</x:f>
        <x:v>174999.99999999988</x:v>
      </x:c>
      <x:c r="C11" s="168" t="n">
        <x:f>175000</x:f>
        <x:v>175000</x:v>
      </x:c>
      <x:c r="D11" s="168" t="n">
        <x:f>B11-C11</x:f>
        <x:v>-1.1641532182693481e-10</x:v>
      </x:c>
      <x:c r="E11" s="168" t="n">
        <x:v>0.01</x:v>
      </x:c>
      <x:c r="F11" s="167" t="str">
        <x:f>IF(ABS(D11)&lt;=E11,"OK","FAIL")</x:f>
        <x:v>OK</x:v>
      </x:c>
      <x:c r="G11" s="167" t="str">
        <x:v>200k less 12 months x 2,083.33 principal</x:v>
      </x:c>
      <x:c r="H11" s="177"/>
    </x:row>
    <x:row r="12">
      <x:c r="A12" s="167" t="str">
        <x:v>Minimum Year-1 reserve</x:v>
      </x:c>
      <x:c r="B12" s="168" t="n">
        <x:f>MIN('Cash Plan'!B20:M20)</x:f>
        <x:v>68890.00000733328</x:v>
      </x:c>
      <x:c r="C12" s="168" t="n">
        <x:f>'Assumptions'!B11</x:f>
        <x:v>30000</x:v>
      </x:c>
      <x:c r="D12" s="168" t="n">
        <x:f>B12-C12</x:f>
        <x:v>38890.00000733328</x:v>
      </x:c>
      <x:c r="E12" s="168" t="n">
        <x:v>0</x:v>
      </x:c>
      <x:c r="F12" s="167" t="str">
        <x:f>IF(B12&gt;=C12,"OK","FAIL")</x:f>
        <x:v>OK</x:v>
      </x:c>
      <x:c r="G12" s="167" t="str">
        <x:v>Internal management target</x:v>
      </x:c>
      <x:c r="H12" s="177"/>
    </x:row>
    <x:row r="13">
      <x:c r="A13" s="167" t="str">
        <x:v>Minimum full-horizon reserve</x:v>
      </x:c>
      <x:c r="B13" s="168" t="n">
        <x:f>MIN('Cash Plan'!B20:AK20)</x:f>
        <x:v>41045.86667466661</x:v>
      </x:c>
      <x:c r="C13" s="168" t="n">
        <x:f>'Assumptions'!B11</x:f>
        <x:v>30000</x:v>
      </x:c>
      <x:c r="D13" s="168" t="n">
        <x:f>B13-C13</x:f>
        <x:v>11045.866674666613</x:v>
      </x:c>
      <x:c r="E13" s="168" t="n">
        <x:v>0</x:v>
      </x:c>
      <x:c r="F13" s="167" t="str">
        <x:f>IF(B13&gt;=C13,"OK","FAIL")</x:f>
        <x:v>OK</x:v>
      </x:c>
      <x:c r="G13" s="167" t="str">
        <x:v>Must hold through Year 2 trough</x:v>
      </x:c>
      <x:c r="H13" s="177"/>
    </x:row>
    <x:row r="14">
      <x:c r="A14" s="169" t="str">
        <x:v>MODEL STATUS</x:v>
      </x:c>
      <x:c r="B14" s="169" t="str">
        <x:f>IF(COUNTIF(F5:F13,"FAIL")=0,"PASS","FAIL")</x:f>
        <x:v>PASS</x:v>
      </x:c>
      <x:c r="C14" s="167"/>
      <x:c r="D14" s="167"/>
      <x:c r="E14" s="167"/>
      <x:c r="F14" s="167"/>
      <x:c r="G14" s="167"/>
      <x:c r="H14" s="177"/>
    </x:row>
    <x:row r="15">
      <x:c r="A15" s="167"/>
      <x:c r="B15" s="167"/>
      <x:c r="C15" s="167"/>
      <x:c r="D15" s="167"/>
      <x:c r="E15" s="167"/>
      <x:c r="F15" s="167"/>
      <x:c r="G15" s="167"/>
      <x:c r="H15" s="177"/>
    </x:row>
    <x:row r="16" ht="22" customHeight="1">
      <x:c r="A16" s="113" t="str">
        <x:v>Sources and assumption audit</x:v>
      </x:c>
      <x:c r="B16" s="113"/>
      <x:c r="C16" s="113"/>
      <x:c r="D16" s="113"/>
      <x:c r="E16" s="113"/>
      <x:c r="F16" s="113"/>
      <x:c r="G16" s="113"/>
      <x:c r="H16" s="177"/>
    </x:row>
    <x:row r="17">
      <x:c r="A17" s="114" t="str">
        <x:v>Item</x:v>
      </x:c>
      <x:c r="B17" s="115" t="str">
        <x:v>Value / use</x:v>
      </x:c>
      <x:c r="C17" s="115" t="str">
        <x:v>Unit</x:v>
      </x:c>
      <x:c r="D17" s="115" t="str">
        <x:v>As of</x:v>
      </x:c>
      <x:c r="E17" s="115" t="str">
        <x:v>Source type</x:v>
      </x:c>
      <x:c r="F17" s="115" t="str">
        <x:v>Source / reference</x:v>
      </x:c>
      <x:c r="G17" s="116" t="str">
        <x:v>Audit note</x:v>
      </x:c>
      <x:c r="H17" s="177"/>
    </x:row>
    <x:row r="18">
      <x:c r="A18" s="187" t="str">
        <x:v>KfW loan cap / operating cap</x:v>
      </x:c>
      <x:c r="B18" s="187" t="str">
        <x:v>200k / 80k</x:v>
      </x:c>
      <x:c r="C18" s="187" t="str">
        <x:v>EUR</x:v>
      </x:c>
      <x:c r="D18" s="187" t="str">
        <x:v>2026-07-12</x:v>
      </x:c>
      <x:c r="E18" s="187" t="str">
        <x:v>Official</x:v>
      </x:c>
      <x:c r="F18" s="187" t="str">
        <x:v>https://www.kfw.de/inlandsfoerderung/Unternehmen/Gr%C3%BCnden-Nachfolgen/F%C3%B6rderprodukte/ERP-Gr%C3%BCnderkredit-Startgeld-%28067%29/</x:v>
      </x:c>
      <x:c r="G18" s="187" t="str">
        <x:v>Official page confirms up to 200k, max 80k working capital</x:v>
      </x:c>
      <x:c r="H18" s="177"/>
    </x:row>
    <x:row r="19">
      <x:c r="A19" s="187" t="str">
        <x:v>KfW interest</x:v>
      </x:c>
      <x:c r="B19" s="187" t="str">
        <x:v>4.52%</x:v>
      </x:c>
      <x:c r="C19" s="187" t="str">
        <x:v>% p.a.</x:v>
      </x:c>
      <x:c r="D19" s="187" t="str">
        <x:v>2026-07-10</x:v>
      </x:c>
      <x:c r="E19" s="187" t="str">
        <x:v>Official</x:v>
      </x:c>
      <x:c r="F19" s="187" t="str">
        <x:v>https://www.kfw-formularsammlung.de/KonditionenanzeigerINet/KonditionenAnzeiger</x:v>
      </x:c>
      <x:c r="G19" s="187" t="str">
        <x:v>Final rate set at approval</x:v>
      </x:c>
      <x:c r="H19" s="177"/>
    </x:row>
    <x:row r="20">
      <x:c r="A20" s="187" t="str">
        <x:v>Product/pricing</x:v>
      </x:c>
      <x:c r="B20" s="187" t="str">
        <x:v>50 / 69 / 5k</x:v>
      </x:c>
      <x:c r="C20" s="187" t="str">
        <x:v>EUR</x:v>
      </x:c>
      <x:c r="D20" s="187" t="str">
        <x:v>2026-07-12</x:v>
      </x:c>
      <x:c r="E20" s="187" t="str">
        <x:v>Internal canon + founder decision</x:v>
      </x:c>
      <x:c r="F20" s="187" t="str">
        <x:v>/Users/jules/dev/consultry/product-definition/Consultry-GTM-Decisions-v1.0.md</x:v>
      </x:c>
      <x:c r="G20" s="187" t="str">
        <x:v>5k activation package confirmed by user; paid cohort still to validate</x:v>
      </x:c>
      <x:c r="H20" s="177"/>
    </x:row>
    <x:row r="21">
      <x:c r="A21" s="187" t="str">
        <x:v>Design partners</x:v>
      </x:c>
      <x:c r="B21" s="187" t="str">
        <x:v>2, token cost only</x:v>
      </x:c>
      <x:c r="C21" s="187" t="str">
        <x:v>count</x:v>
      </x:c>
      <x:c r="D21" s="187" t="str">
        <x:v>2026-07-12</x:v>
      </x:c>
      <x:c r="E21" s="187" t="str">
        <x:v>User-provided</x:v>
      </x:c>
      <x:c r="F21" s="187" t="str">
        <x:v>H&amp;W Digital Solutions UG; Krallmann AG</x:v>
      </x:c>
      <x:c r="G21" s="187" t="str">
        <x:v>LOIs validate use, not price; excluded from revenue</x:v>
      </x:c>
      <x:c r="H21" s="177"/>
    </x:row>
    <x:row r="22">
      <x:c r="A22" s="187" t="str">
        <x:v>Product scope</x:v>
      </x:c>
      <x:c r="B22" s="187" t="str">
        <x:v>Vision v2.7 / MVP separate</x:v>
      </x:c>
      <x:c r="C22" s="187" t="str">
        <x:v>n/a</x:v>
      </x:c>
      <x:c r="D22" s="187" t="str">
        <x:v>2026-07-12</x:v>
      </x:c>
      <x:c r="E22" s="187" t="str">
        <x:v>Internal canon</x:v>
      </x:c>
      <x:c r="F22" s="187" t="str">
        <x:v>/Users/jules/dev/consultry/product-definition/Consultry-Product-Vision-v1.0.md</x:v>
      </x:c>
      <x:c r="G22" s="187" t="str">
        <x:v>No full Assetization or full OS delivery in Year 1</x:v>
      </x:c>
      <x:c r="H22" s="177"/>
    </x:row>
    <x:row r="23">
      <x:c r="A23" s="187" t="str">
        <x:v>Founder payroll</x:v>
      </x:c>
      <x:c r="B23" s="187" t="str">
        <x:v>0 fixed Year 1; optional cap 80k</x:v>
      </x:c>
      <x:c r="C23" s="187" t="str">
        <x:v>EUR</x:v>
      </x:c>
      <x:c r="D23" s="187" t="str">
        <x:v>2026-07-12</x:v>
      </x:c>
      <x:c r="E23" s="187" t="str">
        <x:v>Founder instruction</x:v>
      </x:c>
      <x:c r="F23" s="187" t="str">
        <x:v>No fixed founder salary before separate additional funding</x:v>
      </x:c>
      <x:c r="G23" s="187" t="str">
        <x:v>Document private livelihood and no deferred compensation; legal/payroll review required</x:v>
      </x:c>
      <x:c r="H23" s="177"/>
    </x:row>
    <x:row r="24">
      <x:c r="A24" s="187" t="str">
        <x:v>OmniSEC workbook</x:v>
      </x:c>
      <x:c r="B24" s="187" t="str">
        <x:v>Structure only</x:v>
      </x:c>
      <x:c r="C24" s="187" t="str">
        <x:v>n/a</x:v>
      </x:c>
      <x:c r="D24" s="187" t="str">
        <x:v>2026-07-12</x:v>
      </x:c>
      <x:c r="E24" s="187" t="str">
        <x:v>Reference</x:v>
      </x:c>
      <x:c r="F24" s="187" t="str">
        <x:v>/Users/jules/dev/consultry/OmniSEC_FinancialPlanning_Sheet.xlsx</x:v>
      </x:c>
      <x:c r="G24" s="187" t="str">
        <x:v>Used for separation of funding, headcount, revenue, cost and scenarios; no OmniSEC business figures imported; reference contains #REF errors</x:v>
      </x:c>
      <x:c r="H24" s="177"/>
    </x:row>
  </x:sheetData>
  <x:mergeCells>
    <x:mergeCell ref="A1:H1"/>
    <x:mergeCell ref="A2:H2"/>
    <x:mergeCell ref="A16:G16"/>
  </x:mergeCells>
  <x:conditionalFormatting sqref="F5:F13">
    <x:cfRule type="containsText" dxfId="3" priority="1" operator="containsText" text="OK"/>
    <x:cfRule type="containsText" dxfId="4" priority="2" operator="containsText" text="FAIL"/>
  </x:conditionalFormatting>
  <x:conditionalFormatting sqref="B14:B14">
    <x:cfRule type="containsText" dxfId="5" priority="3" operator="containsText" text="PASS"/>
    <x:cfRule type="containsText" dxfId="6" priority="4" operator="containsText" text="FAIL"/>
  </x:conditionalFormatting>
  <x:pageMargins left="0.7" right="0.7" top="0.75" bottom="0.75" header="0.3" footer="0.3"/>
</x:worksheet>
</file>